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Document\GitHub\OMSA\"/>
    </mc:Choice>
  </mc:AlternateContent>
  <bookViews>
    <workbookView xWindow="0" yWindow="0" windowWidth="20850" windowHeight="10665" firstSheet="5" activeTab="10"/>
  </bookViews>
  <sheets>
    <sheet name="Information" sheetId="2" r:id="rId1"/>
    <sheet name="Price the bond basics" sheetId="6" r:id="rId2"/>
    <sheet name="Variable timeline" sheetId="7" r:id="rId3"/>
    <sheet name="Par_premium_discount" sheetId="8" r:id="rId4"/>
    <sheet name="Finding_YTM" sheetId="9" r:id="rId5"/>
    <sheet name="Duration Formula" sheetId="10" r:id="rId6"/>
    <sheet name="Convexity formula" sheetId="11" r:id="rId7"/>
    <sheet name="Duration_Convexity" sheetId="12" r:id="rId8"/>
    <sheet name="Graph_Duration_Convexity" sheetId="13" r:id="rId9"/>
    <sheet name="Immunize Part 1" sheetId="14" r:id="rId10"/>
    <sheet name="Immunize Part 2" sheetId="15" r:id="rId11"/>
    <sheet name="Announcement" sheetId="1" state="veryHidden" r:id="rId12"/>
    <sheet name="LogRecord" sheetId="3" state="veryHidden" r:id="rId13"/>
  </sheets>
  <externalReferences>
    <externalReference r:id="rId14"/>
  </externalReferences>
  <definedNames>
    <definedName name="solver_adj" localSheetId="10" hidden="1">'Immunize Part 2'!$I$22:$I$26</definedName>
    <definedName name="solver_cvg" localSheetId="10" hidden="1">0.0001</definedName>
    <definedName name="solver_drv" localSheetId="10" hidden="1">2</definedName>
    <definedName name="solver_eng" localSheetId="10" hidden="1">1</definedName>
    <definedName name="solver_est" localSheetId="10" hidden="1">1</definedName>
    <definedName name="solver_itr" localSheetId="10" hidden="1">2147483647</definedName>
    <definedName name="solver_lhs1" localSheetId="10" hidden="1">'Immunize Part 2'!$I$28</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1</definedName>
    <definedName name="solver_nod" localSheetId="10" hidden="1">2147483647</definedName>
    <definedName name="solver_num" localSheetId="10" hidden="1">1</definedName>
    <definedName name="solver_nwt" localSheetId="10" hidden="1">1</definedName>
    <definedName name="solver_opt" localSheetId="10" hidden="1">'Immunize Part 2'!$H$28</definedName>
    <definedName name="solver_pre" localSheetId="10" hidden="1">0.000001</definedName>
    <definedName name="solver_rbv" localSheetId="10" hidden="1">2</definedName>
    <definedName name="solver_rel1" localSheetId="10" hidden="1">2</definedName>
    <definedName name="solver_rhs1" localSheetId="10" hidden="1">1</definedName>
    <definedName name="solver_rlx" localSheetId="10" hidden="1">2</definedName>
    <definedName name="solver_rsd" localSheetId="10" hidden="1">0</definedName>
    <definedName name="solver_scl" localSheetId="10" hidden="1">2</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3</definedName>
    <definedName name="solver_val" localSheetId="10" hidden="1">8.435331611</definedName>
    <definedName name="solver_ver" localSheetId="10" hidden="1">3</definedName>
    <definedName name="Yield_Change">'[1]Periodic Duration'!$F$1</definedName>
  </definedNames>
  <calcPr calcId="152511"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15" l="1"/>
  <c r="I24" i="15"/>
  <c r="I25" i="15"/>
  <c r="I26" i="15"/>
  <c r="I22" i="15"/>
  <c r="H25" i="15"/>
  <c r="G24" i="15"/>
  <c r="J24" i="15" s="1"/>
  <c r="G7" i="15"/>
  <c r="E23" i="15"/>
  <c r="G23" i="15" s="1"/>
  <c r="J23" i="15" s="1"/>
  <c r="E24" i="15"/>
  <c r="H24" i="15" s="1"/>
  <c r="E25" i="15"/>
  <c r="G25" i="15" s="1"/>
  <c r="J25" i="15" s="1"/>
  <c r="E26" i="15"/>
  <c r="H26" i="15" s="1"/>
  <c r="E22" i="15"/>
  <c r="H22" i="15" s="1"/>
  <c r="C50" i="14"/>
  <c r="G42" i="14"/>
  <c r="G43" i="14"/>
  <c r="G44" i="14"/>
  <c r="G45" i="14"/>
  <c r="G46" i="14"/>
  <c r="G47" i="14"/>
  <c r="G48" i="14"/>
  <c r="G49" i="14"/>
  <c r="G50" i="14"/>
  <c r="G41" i="14"/>
  <c r="F6" i="14"/>
  <c r="F5" i="14"/>
  <c r="F7" i="14" s="1"/>
  <c r="F10" i="14" s="1"/>
  <c r="C31" i="14"/>
  <c r="F22" i="14"/>
  <c r="D22" i="14"/>
  <c r="I13" i="15"/>
  <c r="H13" i="15"/>
  <c r="H8" i="15"/>
  <c r="H9" i="15"/>
  <c r="H10" i="15"/>
  <c r="H11" i="15"/>
  <c r="H7" i="15"/>
  <c r="G8" i="15"/>
  <c r="G9" i="15"/>
  <c r="G10" i="15"/>
  <c r="G11" i="15"/>
  <c r="H42" i="14"/>
  <c r="H43" i="14"/>
  <c r="H44" i="14"/>
  <c r="H45" i="14"/>
  <c r="H46" i="14"/>
  <c r="H47" i="14"/>
  <c r="H48" i="14"/>
  <c r="H49" i="14"/>
  <c r="H50" i="14"/>
  <c r="H41" i="14"/>
  <c r="D42" i="14"/>
  <c r="E42" i="14" s="1"/>
  <c r="D43" i="14"/>
  <c r="D44" i="14"/>
  <c r="D45" i="14"/>
  <c r="D46" i="14"/>
  <c r="D47" i="14"/>
  <c r="D48" i="14"/>
  <c r="D49" i="14"/>
  <c r="E49" i="14" s="1"/>
  <c r="D50" i="14"/>
  <c r="D41" i="14"/>
  <c r="C42" i="14"/>
  <c r="C43" i="14"/>
  <c r="C44" i="14"/>
  <c r="C45" i="14"/>
  <c r="C46" i="14"/>
  <c r="C47" i="14"/>
  <c r="C48" i="14"/>
  <c r="C49" i="14"/>
  <c r="C41" i="14"/>
  <c r="H23" i="14"/>
  <c r="H24" i="14"/>
  <c r="H25" i="14"/>
  <c r="H26" i="14"/>
  <c r="H27" i="14"/>
  <c r="H28" i="14"/>
  <c r="H29" i="14"/>
  <c r="H30" i="14"/>
  <c r="H31" i="14"/>
  <c r="H22" i="14"/>
  <c r="G23" i="14"/>
  <c r="G24" i="14"/>
  <c r="G25" i="14"/>
  <c r="G26" i="14"/>
  <c r="G27" i="14"/>
  <c r="G28" i="14"/>
  <c r="G29" i="14"/>
  <c r="G30" i="14"/>
  <c r="G31" i="14"/>
  <c r="G22" i="14"/>
  <c r="E35" i="14"/>
  <c r="D23" i="14"/>
  <c r="D24" i="14"/>
  <c r="D25" i="14"/>
  <c r="D26" i="14"/>
  <c r="D27" i="14"/>
  <c r="D28" i="14"/>
  <c r="D29" i="14"/>
  <c r="E29" i="14" s="1"/>
  <c r="D30" i="14"/>
  <c r="D31" i="14"/>
  <c r="C22" i="14"/>
  <c r="C23" i="14"/>
  <c r="C24" i="14"/>
  <c r="C25" i="14"/>
  <c r="E25" i="14" s="1"/>
  <c r="C26" i="14"/>
  <c r="C27" i="14"/>
  <c r="C28" i="14"/>
  <c r="E28" i="14" s="1"/>
  <c r="C29" i="14"/>
  <c r="C30" i="14"/>
  <c r="G6" i="12"/>
  <c r="G5" i="12"/>
  <c r="G4" i="12"/>
  <c r="F8" i="12"/>
  <c r="F10" i="12" s="1"/>
  <c r="F9" i="12"/>
  <c r="F6" i="12"/>
  <c r="F5" i="12"/>
  <c r="B10" i="12"/>
  <c r="I33" i="12"/>
  <c r="I32" i="12"/>
  <c r="I31" i="12"/>
  <c r="I19" i="12"/>
  <c r="I20" i="12"/>
  <c r="I21" i="12"/>
  <c r="I22" i="12"/>
  <c r="I23" i="12"/>
  <c r="I24" i="12"/>
  <c r="I25" i="12"/>
  <c r="I26" i="12"/>
  <c r="I27" i="12"/>
  <c r="I28" i="12"/>
  <c r="I29" i="12"/>
  <c r="I18" i="12"/>
  <c r="H19" i="12"/>
  <c r="H20" i="12"/>
  <c r="H21" i="12"/>
  <c r="H22" i="12"/>
  <c r="H23" i="12"/>
  <c r="H24" i="12"/>
  <c r="H25" i="12"/>
  <c r="H26" i="12"/>
  <c r="H27" i="12"/>
  <c r="H28" i="12"/>
  <c r="H29" i="12"/>
  <c r="H18" i="12"/>
  <c r="G19" i="12"/>
  <c r="G20" i="12"/>
  <c r="G21" i="12"/>
  <c r="G22" i="12"/>
  <c r="G23" i="12"/>
  <c r="G24" i="12"/>
  <c r="G25" i="12"/>
  <c r="G26" i="12"/>
  <c r="G27" i="12"/>
  <c r="G28" i="12"/>
  <c r="G29" i="12"/>
  <c r="B1" i="12"/>
  <c r="B9" i="12"/>
  <c r="B8" i="12"/>
  <c r="F33" i="12"/>
  <c r="F32" i="12"/>
  <c r="F31" i="12"/>
  <c r="E31" i="12"/>
  <c r="D18" i="12"/>
  <c r="G18" i="12"/>
  <c r="F4" i="12"/>
  <c r="F19" i="12"/>
  <c r="F20" i="12"/>
  <c r="F21" i="12"/>
  <c r="F22" i="12"/>
  <c r="F23" i="12"/>
  <c r="F24" i="12"/>
  <c r="F25" i="12"/>
  <c r="F26" i="12"/>
  <c r="F27" i="12"/>
  <c r="F28" i="12"/>
  <c r="F29" i="12"/>
  <c r="F18" i="12"/>
  <c r="E19" i="12"/>
  <c r="E20" i="12"/>
  <c r="E21" i="12"/>
  <c r="E22" i="12"/>
  <c r="E23" i="12"/>
  <c r="E24" i="12"/>
  <c r="E25" i="12"/>
  <c r="E26" i="12"/>
  <c r="E27" i="12"/>
  <c r="E28" i="12"/>
  <c r="E29" i="12"/>
  <c r="E18" i="12"/>
  <c r="D19" i="12"/>
  <c r="D20" i="12"/>
  <c r="D21" i="12"/>
  <c r="D22" i="12"/>
  <c r="D23" i="12"/>
  <c r="D24" i="12"/>
  <c r="D25" i="12"/>
  <c r="D26" i="12"/>
  <c r="D27" i="12"/>
  <c r="D28" i="12"/>
  <c r="D29" i="12"/>
  <c r="C29" i="12"/>
  <c r="C18" i="12"/>
  <c r="C19" i="12"/>
  <c r="C20" i="12"/>
  <c r="C21" i="12"/>
  <c r="C22" i="12"/>
  <c r="C23" i="12"/>
  <c r="C24" i="12"/>
  <c r="C25" i="12"/>
  <c r="C26" i="12"/>
  <c r="C27" i="12"/>
  <c r="C28" i="12"/>
  <c r="L11" i="9"/>
  <c r="L10" i="9"/>
  <c r="I11" i="9"/>
  <c r="I10" i="9"/>
  <c r="A12" i="9"/>
  <c r="A13" i="9"/>
  <c r="A14" i="9"/>
  <c r="A15" i="9"/>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11" i="9"/>
  <c r="B11" i="9"/>
  <c r="C11" i="9" s="1"/>
  <c r="G11" i="7"/>
  <c r="D10" i="7"/>
  <c r="A11" i="7"/>
  <c r="A12" i="7" s="1"/>
  <c r="A13" i="7" s="1"/>
  <c r="J13" i="6"/>
  <c r="I13" i="6"/>
  <c r="H13" i="6"/>
  <c r="E22" i="6"/>
  <c r="E12" i="6" s="1"/>
  <c r="D13" i="6"/>
  <c r="D14" i="6"/>
  <c r="D15" i="6"/>
  <c r="D16" i="6"/>
  <c r="D17" i="6"/>
  <c r="D12" i="6" s="1"/>
  <c r="D18" i="6"/>
  <c r="D19" i="6"/>
  <c r="D20" i="6"/>
  <c r="D21" i="6"/>
  <c r="D22" i="6"/>
  <c r="G22" i="15" l="1"/>
  <c r="J22" i="15" s="1"/>
  <c r="J28" i="15" s="1"/>
  <c r="I28" i="15"/>
  <c r="G26" i="15"/>
  <c r="J26" i="15" s="1"/>
  <c r="H23" i="15"/>
  <c r="H28" i="15" s="1"/>
  <c r="I49" i="14"/>
  <c r="I42" i="14"/>
  <c r="E45" i="14"/>
  <c r="I45" i="14" s="1"/>
  <c r="E22" i="14"/>
  <c r="I22" i="14" s="1"/>
  <c r="E41" i="14"/>
  <c r="E47" i="14"/>
  <c r="E48" i="14"/>
  <c r="I48" i="14" s="1"/>
  <c r="E24" i="14"/>
  <c r="I24" i="14" s="1"/>
  <c r="E30" i="14"/>
  <c r="I30" i="14" s="1"/>
  <c r="F29" i="14"/>
  <c r="I29" i="14"/>
  <c r="F49" i="14"/>
  <c r="E23" i="14"/>
  <c r="I23" i="14" s="1"/>
  <c r="E46" i="14"/>
  <c r="E27" i="14"/>
  <c r="F27" i="14" s="1"/>
  <c r="E44" i="14"/>
  <c r="E26" i="14"/>
  <c r="E43" i="14"/>
  <c r="I43" i="14" s="1"/>
  <c r="F45" i="14"/>
  <c r="F26" i="14"/>
  <c r="I26" i="14"/>
  <c r="I25" i="14"/>
  <c r="F25" i="14"/>
  <c r="I28" i="14"/>
  <c r="F28" i="14"/>
  <c r="I27" i="14"/>
  <c r="F24" i="14"/>
  <c r="F42" i="14"/>
  <c r="B12" i="9"/>
  <c r="C12" i="9" s="1"/>
  <c r="B11" i="7"/>
  <c r="C11" i="7" s="1"/>
  <c r="A14" i="7"/>
  <c r="B13" i="7"/>
  <c r="C13" i="7" s="1"/>
  <c r="B12" i="7"/>
  <c r="C12" i="7" s="1"/>
  <c r="I14" i="6"/>
  <c r="F12" i="6"/>
  <c r="B1" i="14"/>
  <c r="B2" i="14"/>
  <c r="F9" i="14" s="1"/>
  <c r="J31" i="15" s="1"/>
  <c r="C4" i="14"/>
  <c r="C5" i="14"/>
  <c r="C7" i="14"/>
  <c r="B23" i="14"/>
  <c r="B24" i="14"/>
  <c r="B25" i="14" s="1"/>
  <c r="B26" i="14" s="1"/>
  <c r="B27" i="14" s="1"/>
  <c r="B28" i="14" s="1"/>
  <c r="B29" i="14" s="1"/>
  <c r="B30" i="14" s="1"/>
  <c r="B31" i="14" s="1"/>
  <c r="B42" i="14"/>
  <c r="B43" i="14" s="1"/>
  <c r="B44" i="14" s="1"/>
  <c r="B45" i="14" s="1"/>
  <c r="B46" i="14" s="1"/>
  <c r="B47" i="14" s="1"/>
  <c r="B48" i="14" s="1"/>
  <c r="B49" i="14" s="1"/>
  <c r="B50" i="14" s="1"/>
  <c r="C2" i="12"/>
  <c r="C3" i="12"/>
  <c r="C4" i="12"/>
  <c r="C6" i="12"/>
  <c r="C1" i="12" s="1"/>
  <c r="J6" i="12"/>
  <c r="J7" i="12" s="1"/>
  <c r="J8" i="12" s="1"/>
  <c r="B19" i="12"/>
  <c r="B20" i="12"/>
  <c r="B21" i="12" s="1"/>
  <c r="B22" i="12" s="1"/>
  <c r="B23" i="12" s="1"/>
  <c r="B24" i="12" s="1"/>
  <c r="B25" i="12" s="1"/>
  <c r="B26" i="12" s="1"/>
  <c r="B27" i="12" s="1"/>
  <c r="B10" i="8"/>
  <c r="C22" i="6"/>
  <c r="B22" i="6"/>
  <c r="B21" i="6"/>
  <c r="B20" i="6"/>
  <c r="B19" i="6"/>
  <c r="B18" i="6"/>
  <c r="B17" i="6"/>
  <c r="B16" i="6"/>
  <c r="B15" i="6"/>
  <c r="B14" i="6"/>
  <c r="B13" i="6"/>
  <c r="J32" i="15" l="1"/>
  <c r="J33" i="15" s="1"/>
  <c r="I41" i="14"/>
  <c r="F41" i="14"/>
  <c r="B1" i="15"/>
  <c r="F11" i="14"/>
  <c r="F44" i="14"/>
  <c r="I44" i="14"/>
  <c r="F46" i="14"/>
  <c r="I46" i="14"/>
  <c r="F47" i="14"/>
  <c r="I47" i="14"/>
  <c r="F43" i="14"/>
  <c r="F30" i="14"/>
  <c r="F48" i="14"/>
  <c r="F23" i="14"/>
  <c r="E31" i="14"/>
  <c r="E50" i="14"/>
  <c r="I50" i="14" s="1"/>
  <c r="B13" i="9"/>
  <c r="C13" i="9" s="1"/>
  <c r="A15" i="7"/>
  <c r="B14" i="7"/>
  <c r="C14" i="7" s="1"/>
  <c r="C1" i="14"/>
  <c r="J8" i="15" l="1"/>
  <c r="K8" i="15" s="1"/>
  <c r="J11" i="15"/>
  <c r="K11" i="15" s="1"/>
  <c r="J7" i="15"/>
  <c r="J9" i="15"/>
  <c r="K9" i="15" s="1"/>
  <c r="J10" i="15"/>
  <c r="K10" i="15" s="1"/>
  <c r="I31" i="14"/>
  <c r="I35" i="14" s="1"/>
  <c r="I36" i="14" s="1"/>
  <c r="B11" i="14" s="1"/>
  <c r="F31" i="14"/>
  <c r="F35" i="14" s="1"/>
  <c r="F36" i="14" s="1"/>
  <c r="B9" i="14" s="1"/>
  <c r="I54" i="14"/>
  <c r="F50" i="14"/>
  <c r="F54" i="14" s="1"/>
  <c r="E54" i="14"/>
  <c r="B14" i="9"/>
  <c r="C14" i="9" s="1"/>
  <c r="A16" i="7"/>
  <c r="B15" i="7"/>
  <c r="C15" i="7" s="1"/>
  <c r="K7" i="15" l="1"/>
  <c r="J13" i="15"/>
  <c r="F55" i="14"/>
  <c r="B12" i="14" s="1"/>
  <c r="B3" i="15" s="1"/>
  <c r="I55" i="14"/>
  <c r="B14" i="14" s="1"/>
  <c r="B10" i="14"/>
  <c r="B15" i="9"/>
  <c r="C15" i="9" s="1"/>
  <c r="A17" i="7"/>
  <c r="B16" i="7"/>
  <c r="C16" i="7" s="1"/>
  <c r="B13" i="14" l="1"/>
  <c r="B16" i="9"/>
  <c r="C16" i="9" s="1"/>
  <c r="A18" i="7"/>
  <c r="B17" i="7"/>
  <c r="C17" i="7" s="1"/>
  <c r="B17" i="9" l="1"/>
  <c r="C17" i="9" s="1"/>
  <c r="A19" i="7"/>
  <c r="B18" i="7"/>
  <c r="C18" i="7" s="1"/>
  <c r="B18" i="9" l="1"/>
  <c r="C18" i="9" s="1"/>
  <c r="A20" i="7"/>
  <c r="B19" i="7"/>
  <c r="C19" i="7" s="1"/>
  <c r="B19" i="9" l="1"/>
  <c r="C19" i="9" s="1"/>
  <c r="A21" i="7"/>
  <c r="B20" i="7"/>
  <c r="C20" i="7" s="1"/>
  <c r="B20" i="9" l="1"/>
  <c r="C20" i="9" s="1"/>
  <c r="A22" i="7"/>
  <c r="B21" i="7"/>
  <c r="C21" i="7" s="1"/>
  <c r="B21" i="9" l="1"/>
  <c r="C21" i="9" s="1"/>
  <c r="A23" i="7"/>
  <c r="B22" i="7"/>
  <c r="C22" i="7" s="1"/>
  <c r="B22" i="9" l="1"/>
  <c r="C22" i="9" s="1"/>
  <c r="A24" i="7"/>
  <c r="B23" i="7"/>
  <c r="C23" i="7" s="1"/>
  <c r="B23" i="9" l="1"/>
  <c r="C23" i="9" s="1"/>
  <c r="A25" i="7"/>
  <c r="B24" i="7"/>
  <c r="C24" i="7" s="1"/>
  <c r="B24" i="9" l="1"/>
  <c r="C24" i="9" s="1"/>
  <c r="A26" i="7"/>
  <c r="B25" i="7"/>
  <c r="C25" i="7" s="1"/>
  <c r="B25" i="9" l="1"/>
  <c r="C25" i="9" s="1"/>
  <c r="A27" i="7"/>
  <c r="B26" i="7"/>
  <c r="C26" i="7" s="1"/>
  <c r="B26" i="9" l="1"/>
  <c r="C26" i="9" s="1"/>
  <c r="A28" i="7"/>
  <c r="B27" i="7"/>
  <c r="C27" i="7" s="1"/>
  <c r="B27" i="9" l="1"/>
  <c r="C27" i="9" s="1"/>
  <c r="A29" i="7"/>
  <c r="B28" i="7"/>
  <c r="C28" i="7" s="1"/>
  <c r="B28" i="9" l="1"/>
  <c r="C28" i="9" s="1"/>
  <c r="A30" i="7"/>
  <c r="B29" i="7"/>
  <c r="C29" i="7" s="1"/>
  <c r="B29" i="9" l="1"/>
  <c r="C29" i="9" s="1"/>
  <c r="A31" i="7"/>
  <c r="B30" i="7"/>
  <c r="C30" i="7" s="1"/>
  <c r="B30" i="9" l="1"/>
  <c r="C30" i="9" s="1"/>
  <c r="A32" i="7"/>
  <c r="B31" i="7"/>
  <c r="C31" i="7" s="1"/>
  <c r="B31" i="9" l="1"/>
  <c r="C31" i="9" s="1"/>
  <c r="A33" i="7"/>
  <c r="B32" i="7"/>
  <c r="C32" i="7" s="1"/>
  <c r="B32" i="9" l="1"/>
  <c r="C32" i="9" s="1"/>
  <c r="A34" i="7"/>
  <c r="B33" i="7"/>
  <c r="C33" i="7" s="1"/>
  <c r="B33" i="9" l="1"/>
  <c r="C33" i="9" s="1"/>
  <c r="A35" i="7"/>
  <c r="B34" i="7"/>
  <c r="C34" i="7" s="1"/>
  <c r="B34" i="9" l="1"/>
  <c r="C34" i="9" s="1"/>
  <c r="A36" i="7"/>
  <c r="B35" i="7"/>
  <c r="C35" i="7" s="1"/>
  <c r="B35" i="9" l="1"/>
  <c r="C35" i="9" s="1"/>
  <c r="A37" i="7"/>
  <c r="B36" i="7"/>
  <c r="C36" i="7" s="1"/>
  <c r="B36" i="9" l="1"/>
  <c r="C36" i="9" s="1"/>
  <c r="A38" i="7"/>
  <c r="B37" i="7"/>
  <c r="C37" i="7" s="1"/>
  <c r="B37" i="9" l="1"/>
  <c r="C37" i="9" s="1"/>
  <c r="A39" i="7"/>
  <c r="B38" i="7"/>
  <c r="C38" i="7" s="1"/>
  <c r="B38" i="9" l="1"/>
  <c r="C38" i="9" s="1"/>
  <c r="A40" i="7"/>
  <c r="B39" i="7"/>
  <c r="C39" i="7" s="1"/>
  <c r="B39" i="9" l="1"/>
  <c r="C39" i="9" s="1"/>
  <c r="A41" i="7"/>
  <c r="B40" i="7"/>
  <c r="C40" i="7" s="1"/>
  <c r="B40" i="9" l="1"/>
  <c r="C40" i="9" s="1"/>
  <c r="A42" i="7"/>
  <c r="B41" i="7"/>
  <c r="C41" i="7" s="1"/>
  <c r="B41" i="9" l="1"/>
  <c r="C41" i="9" s="1"/>
  <c r="A43" i="7"/>
  <c r="B42" i="7"/>
  <c r="C42" i="7" s="1"/>
  <c r="B42" i="9" l="1"/>
  <c r="C42" i="9" s="1"/>
  <c r="A44" i="7"/>
  <c r="B43" i="7"/>
  <c r="C43" i="7" s="1"/>
  <c r="B43" i="9" l="1"/>
  <c r="C43" i="9" s="1"/>
  <c r="A45" i="7"/>
  <c r="B44" i="7"/>
  <c r="C44" i="7" s="1"/>
  <c r="B44" i="9" l="1"/>
  <c r="C44" i="9" s="1"/>
  <c r="A46" i="7"/>
  <c r="B45" i="7"/>
  <c r="C45" i="7" s="1"/>
  <c r="B45" i="9" l="1"/>
  <c r="C45" i="9" s="1"/>
  <c r="A47" i="7"/>
  <c r="B46" i="7"/>
  <c r="C46" i="7" s="1"/>
  <c r="B46" i="9" l="1"/>
  <c r="C46" i="9" s="1"/>
  <c r="A48" i="7"/>
  <c r="B47" i="7"/>
  <c r="C47" i="7" s="1"/>
  <c r="B47" i="9" l="1"/>
  <c r="C47" i="9" s="1"/>
  <c r="A49" i="7"/>
  <c r="B48" i="7"/>
  <c r="C48" i="7" s="1"/>
  <c r="B48" i="9" l="1"/>
  <c r="C48" i="9" s="1"/>
  <c r="A50" i="7"/>
  <c r="B49" i="7"/>
  <c r="C49" i="7" s="1"/>
  <c r="B49" i="9" l="1"/>
  <c r="C49" i="9" s="1"/>
  <c r="A51" i="7"/>
  <c r="B50" i="7"/>
  <c r="C50" i="7" s="1"/>
  <c r="B50" i="9" l="1"/>
  <c r="C50" i="9" s="1"/>
  <c r="A52" i="7"/>
  <c r="B51" i="7"/>
  <c r="C51" i="7" s="1"/>
  <c r="B51" i="9" l="1"/>
  <c r="C51" i="9" s="1"/>
  <c r="A53" i="7"/>
  <c r="B52" i="7"/>
  <c r="C52" i="7" s="1"/>
  <c r="B52" i="9" l="1"/>
  <c r="C52" i="9" s="1"/>
  <c r="A54" i="7"/>
  <c r="B53" i="7"/>
  <c r="C53" i="7" s="1"/>
  <c r="B53" i="9" l="1"/>
  <c r="C53" i="9" s="1"/>
  <c r="A55" i="7"/>
  <c r="B54" i="7"/>
  <c r="C54" i="7" s="1"/>
  <c r="B54" i="9" l="1"/>
  <c r="C54" i="9" s="1"/>
  <c r="A56" i="7"/>
  <c r="B55" i="7"/>
  <c r="C55" i="7" s="1"/>
  <c r="B55" i="9" l="1"/>
  <c r="C55" i="9" s="1"/>
  <c r="A57" i="7"/>
  <c r="B56" i="7"/>
  <c r="C56" i="7" s="1"/>
  <c r="B56" i="9" l="1"/>
  <c r="C56" i="9" s="1"/>
  <c r="A58" i="7"/>
  <c r="B57" i="7"/>
  <c r="C57" i="7" s="1"/>
  <c r="B57" i="9" l="1"/>
  <c r="C57" i="9" s="1"/>
  <c r="A59" i="7"/>
  <c r="B58" i="7"/>
  <c r="C58" i="7" s="1"/>
  <c r="B58" i="9" l="1"/>
  <c r="C58" i="9" s="1"/>
  <c r="A60" i="7"/>
  <c r="B59" i="7"/>
  <c r="C59" i="7" s="1"/>
  <c r="B59" i="9" l="1"/>
  <c r="C59" i="9" s="1"/>
  <c r="A61" i="7"/>
  <c r="B60" i="7"/>
  <c r="C60" i="7" s="1"/>
  <c r="B60" i="9" l="1"/>
  <c r="C60" i="9" s="1"/>
  <c r="A62" i="7"/>
  <c r="B61" i="7"/>
  <c r="C61" i="7" s="1"/>
  <c r="B61" i="9" l="1"/>
  <c r="C61" i="9" s="1"/>
  <c r="A63" i="7"/>
  <c r="B62" i="7"/>
  <c r="C62" i="7" s="1"/>
  <c r="B62" i="9" l="1"/>
  <c r="C62" i="9" s="1"/>
  <c r="A64" i="7"/>
  <c r="B63" i="7"/>
  <c r="C63" i="7" s="1"/>
  <c r="B63" i="9" l="1"/>
  <c r="C63" i="9" s="1"/>
  <c r="A65" i="7"/>
  <c r="B64" i="7"/>
  <c r="C64" i="7" s="1"/>
  <c r="B64" i="9" l="1"/>
  <c r="C64" i="9" s="1"/>
  <c r="A66" i="7"/>
  <c r="B65" i="7"/>
  <c r="C65" i="7" s="1"/>
  <c r="B65" i="9" l="1"/>
  <c r="C65" i="9" s="1"/>
  <c r="A67" i="7"/>
  <c r="B66" i="7"/>
  <c r="C66" i="7" s="1"/>
  <c r="B66" i="9" l="1"/>
  <c r="C66" i="9" s="1"/>
  <c r="A68" i="7"/>
  <c r="B67" i="7"/>
  <c r="C67" i="7" s="1"/>
  <c r="B67" i="9" l="1"/>
  <c r="C67" i="9" s="1"/>
  <c r="A69" i="7"/>
  <c r="B68" i="7"/>
  <c r="C68" i="7" s="1"/>
  <c r="B68" i="9" l="1"/>
  <c r="C68" i="9" s="1"/>
  <c r="A70" i="7"/>
  <c r="B69" i="7"/>
  <c r="C69" i="7" s="1"/>
  <c r="B69" i="9" l="1"/>
  <c r="C69" i="9" s="1"/>
  <c r="A71" i="7"/>
  <c r="B70" i="7"/>
  <c r="C70" i="7" s="1"/>
  <c r="B70" i="9" l="1"/>
  <c r="C70" i="9" s="1"/>
  <c r="A72" i="7"/>
  <c r="B71" i="7"/>
  <c r="C71" i="7" s="1"/>
  <c r="B71" i="9" l="1"/>
  <c r="C71" i="9" s="1"/>
  <c r="A73" i="7"/>
  <c r="B72" i="7"/>
  <c r="C72" i="7" s="1"/>
  <c r="B72" i="9" l="1"/>
  <c r="C72" i="9" s="1"/>
  <c r="A74" i="7"/>
  <c r="B73" i="7"/>
  <c r="C73" i="7" s="1"/>
  <c r="B73" i="9" l="1"/>
  <c r="C73" i="9" s="1"/>
  <c r="A75" i="7"/>
  <c r="B74" i="7"/>
  <c r="C74" i="7" s="1"/>
  <c r="B74" i="9" l="1"/>
  <c r="C74" i="9" s="1"/>
  <c r="A76" i="7"/>
  <c r="B75" i="7"/>
  <c r="C75" i="7" s="1"/>
  <c r="B75" i="9" l="1"/>
  <c r="C75" i="9" s="1"/>
  <c r="A77" i="7"/>
  <c r="B76" i="7"/>
  <c r="C76" i="7" s="1"/>
  <c r="B76" i="9" l="1"/>
  <c r="C76" i="9" s="1"/>
  <c r="A78" i="7"/>
  <c r="B77" i="7"/>
  <c r="C77" i="7" s="1"/>
  <c r="B77" i="9" l="1"/>
  <c r="C77" i="9" s="1"/>
  <c r="A79" i="7"/>
  <c r="B78" i="7"/>
  <c r="C78" i="7" s="1"/>
  <c r="B78" i="9" l="1"/>
  <c r="C78" i="9" s="1"/>
  <c r="A80" i="7"/>
  <c r="B79" i="7"/>
  <c r="C79" i="7" s="1"/>
  <c r="B79" i="9" l="1"/>
  <c r="C79" i="9" s="1"/>
  <c r="A81" i="7"/>
  <c r="B80" i="7"/>
  <c r="C80" i="7" s="1"/>
  <c r="B80" i="9" l="1"/>
  <c r="C80" i="9" s="1"/>
  <c r="A82" i="7"/>
  <c r="B81" i="7"/>
  <c r="C81" i="7" s="1"/>
  <c r="B81" i="9" l="1"/>
  <c r="C81" i="9" s="1"/>
  <c r="A83" i="7"/>
  <c r="B82" i="7"/>
  <c r="C82" i="7" s="1"/>
  <c r="B82" i="9" l="1"/>
  <c r="C82" i="9" s="1"/>
  <c r="A84" i="7"/>
  <c r="B83" i="7"/>
  <c r="C83" i="7" s="1"/>
  <c r="B83" i="9" l="1"/>
  <c r="C83" i="9" s="1"/>
  <c r="A85" i="7"/>
  <c r="B84" i="7"/>
  <c r="C84" i="7" s="1"/>
  <c r="B84" i="9" l="1"/>
  <c r="C84" i="9" s="1"/>
  <c r="A86" i="7"/>
  <c r="B85" i="7"/>
  <c r="C85" i="7" s="1"/>
  <c r="B85" i="9" l="1"/>
  <c r="C85" i="9" s="1"/>
  <c r="A87" i="7"/>
  <c r="B86" i="7"/>
  <c r="C86" i="7" s="1"/>
  <c r="B86" i="9" l="1"/>
  <c r="C86" i="9" s="1"/>
  <c r="A88" i="7"/>
  <c r="B87" i="7"/>
  <c r="C87" i="7" s="1"/>
  <c r="B87" i="9" l="1"/>
  <c r="C87" i="9" s="1"/>
  <c r="A89" i="7"/>
  <c r="B88" i="7"/>
  <c r="C88" i="7" s="1"/>
  <c r="B88" i="9" l="1"/>
  <c r="C88" i="9" s="1"/>
  <c r="A90" i="7"/>
  <c r="B89" i="7"/>
  <c r="C89" i="7" s="1"/>
  <c r="B89" i="9" l="1"/>
  <c r="C89" i="9" s="1"/>
  <c r="A91" i="7"/>
  <c r="B90" i="7"/>
  <c r="C90" i="7" s="1"/>
  <c r="B90" i="9" l="1"/>
  <c r="C90" i="9" s="1"/>
  <c r="A92" i="7"/>
  <c r="B91" i="7"/>
  <c r="C91" i="7" s="1"/>
  <c r="B91" i="9" l="1"/>
  <c r="C91" i="9" s="1"/>
  <c r="A93" i="7"/>
  <c r="B92" i="7"/>
  <c r="C92" i="7" s="1"/>
  <c r="B92" i="9" l="1"/>
  <c r="C92" i="9" s="1"/>
  <c r="A94" i="7"/>
  <c r="B94" i="7" s="1"/>
  <c r="C94" i="7" s="1"/>
  <c r="B93" i="7"/>
  <c r="C93" i="7" s="1"/>
  <c r="B94" i="9" l="1"/>
  <c r="C94" i="9" s="1"/>
  <c r="E10" i="9" s="1"/>
  <c r="B93" i="9"/>
  <c r="C93" i="9" s="1"/>
</calcChain>
</file>

<file path=xl/sharedStrings.xml><?xml version="1.0" encoding="utf-8"?>
<sst xmlns="http://schemas.openxmlformats.org/spreadsheetml/2006/main" count="355" uniqueCount="159">
  <si>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</si>
  <si>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</si>
  <si>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</si>
  <si>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</si>
  <si>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</si>
  <si>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</si>
  <si>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</si>
  <si>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</si>
  <si>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Bond pricing</t>
  </si>
  <si>
    <t>PV/ price of a bond = PV of N-period annuity + PV of a lump sum at N</t>
  </si>
  <si>
    <t>Inputs</t>
  </si>
  <si>
    <r>
      <t>PV annuity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</si>
  <si>
    <t>Par</t>
  </si>
  <si>
    <r>
      <t>PV lump sum =  PAR/(1+i)</t>
    </r>
    <r>
      <rPr>
        <vertAlign val="superscript"/>
        <sz val="11"/>
        <color theme="1"/>
        <rFont val="Calibri"/>
        <family val="2"/>
        <scheme val="minor"/>
      </rPr>
      <t>T</t>
    </r>
  </si>
  <si>
    <t>Coupon rate</t>
  </si>
  <si>
    <r>
      <t>PV/price of bond = (Coupon/2)/(1+i)</t>
    </r>
    <r>
      <rPr>
        <vertAlign val="superscript"/>
        <sz val="11"/>
        <color theme="1"/>
        <rFont val="Calibri"/>
        <family val="2"/>
        <scheme val="minor"/>
      </rPr>
      <t>1</t>
    </r>
    <r>
      <rPr>
        <sz val="11"/>
        <color theme="1"/>
        <rFont val="Calibri"/>
        <family val="2"/>
        <scheme val="minor"/>
      </rPr>
      <t xml:space="preserve"> + (Coupon/2)/(1+i)</t>
    </r>
    <r>
      <rPr>
        <vertAlign val="superscript"/>
        <sz val="11"/>
        <color theme="1"/>
        <rFont val="Calibri"/>
        <family val="2"/>
        <scheme val="minor"/>
      </rPr>
      <t>2</t>
    </r>
    <r>
      <rPr>
        <sz val="11"/>
        <color theme="1"/>
        <rFont val="Calibri"/>
        <family val="2"/>
        <scheme val="minor"/>
      </rPr>
      <t xml:space="preserve"> + …….(Coupon/2)/(1+i)</t>
    </r>
    <r>
      <rPr>
        <vertAlign val="superscript"/>
        <sz val="11"/>
        <color theme="1"/>
        <rFont val="Calibri"/>
        <family val="2"/>
        <scheme val="minor"/>
      </rPr>
      <t>T</t>
    </r>
    <r>
      <rPr>
        <sz val="11"/>
        <color theme="1"/>
        <rFont val="Calibri"/>
        <family val="2"/>
        <scheme val="minor"/>
      </rPr>
      <t xml:space="preserve"> + PAR/(1+i)</t>
    </r>
    <r>
      <rPr>
        <vertAlign val="superscript"/>
        <sz val="11"/>
        <color theme="1"/>
        <rFont val="Calibri"/>
        <family val="2"/>
        <scheme val="minor"/>
      </rPr>
      <t>T</t>
    </r>
  </si>
  <si>
    <t>YTM</t>
  </si>
  <si>
    <t>required/expected return</t>
  </si>
  <si>
    <t>Term (years)</t>
  </si>
  <si>
    <t>Assume semi-annual bond payments</t>
  </si>
  <si>
    <t>Build a timeline, the CFs and the PV of each CF</t>
  </si>
  <si>
    <t>Timeline</t>
  </si>
  <si>
    <t>CF (coupon)</t>
  </si>
  <si>
    <t>PV PMTs only</t>
  </si>
  <si>
    <t>PV Par only</t>
  </si>
  <si>
    <t>Total value of bond</t>
  </si>
  <si>
    <t>PV function</t>
  </si>
  <si>
    <t>(1) Annuity only</t>
  </si>
  <si>
    <t>(2)      Lump Sum piece</t>
  </si>
  <si>
    <t>(3)      Total value</t>
  </si>
  <si>
    <t>Total of (1) + (2) =</t>
  </si>
  <si>
    <t>check</t>
  </si>
  <si>
    <t>Total value</t>
  </si>
  <si>
    <t>Total PV (Bond Price)</t>
  </si>
  <si>
    <t>PV of CF</t>
  </si>
  <si>
    <t>CFs</t>
  </si>
  <si>
    <t>Timeline Method</t>
  </si>
  <si>
    <t>Price falls</t>
  </si>
  <si>
    <r>
      <t>$957.35= ($25)/(1.03)</t>
    </r>
    <r>
      <rPr>
        <vertAlign val="superscript"/>
        <sz val="11"/>
        <color theme="1"/>
        <rFont val="Calibri"/>
        <family val="2"/>
        <scheme val="minor"/>
      </rPr>
      <t>1</t>
    </r>
    <r>
      <rPr>
        <sz val="11"/>
        <color theme="1"/>
        <rFont val="Calibri"/>
        <family val="2"/>
        <scheme val="minor"/>
      </rPr>
      <t xml:space="preserve"> + ($25)/(1.03)</t>
    </r>
    <r>
      <rPr>
        <vertAlign val="superscript"/>
        <sz val="11"/>
        <color theme="1"/>
        <rFont val="Calibri"/>
        <family val="2"/>
        <scheme val="minor"/>
      </rPr>
      <t>2</t>
    </r>
    <r>
      <rPr>
        <sz val="11"/>
        <color theme="1"/>
        <rFont val="Calibri"/>
        <family val="2"/>
        <scheme val="minor"/>
      </rPr>
      <t xml:space="preserve"> + …….($25)/(1.03)</t>
    </r>
    <r>
      <rPr>
        <vertAlign val="superscript"/>
        <sz val="11"/>
        <color theme="1"/>
        <rFont val="Calibri"/>
        <family val="2"/>
        <scheme val="minor"/>
      </rPr>
      <t>10</t>
    </r>
    <r>
      <rPr>
        <sz val="11"/>
        <color theme="1"/>
        <rFont val="Calibri"/>
        <family val="2"/>
        <scheme val="minor"/>
      </rPr>
      <t xml:space="preserve"> + $1,000/(1.03)</t>
    </r>
    <r>
      <rPr>
        <vertAlign val="superscript"/>
        <sz val="11"/>
        <color theme="1"/>
        <rFont val="Calibri"/>
        <family val="2"/>
        <scheme val="minor"/>
      </rPr>
      <t>10</t>
    </r>
  </si>
  <si>
    <t>When YTM increases</t>
  </si>
  <si>
    <r>
      <t>$&lt;1000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</si>
  <si>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and prices</t>
  </si>
  <si>
    <t>Coupon rate &lt; YTM or also we can say YTM &gt; Coupon</t>
  </si>
  <si>
    <t xml:space="preserve">Relation:  INVERSE relation between yields </t>
  </si>
  <si>
    <t>Looking at the bond equation above in row 9, in order for the price to be below $1,000, denominator must be larger</t>
  </si>
  <si>
    <t>3) Bond is priced &lt; par:                       Price &lt; $1,000</t>
  </si>
  <si>
    <t>YTMs decrease,Price increases</t>
  </si>
  <si>
    <t>Price increased</t>
  </si>
  <si>
    <r>
      <t>$1044.91= ($25)/(1.02)</t>
    </r>
    <r>
      <rPr>
        <vertAlign val="superscript"/>
        <sz val="11"/>
        <color theme="1"/>
        <rFont val="Calibri"/>
        <family val="2"/>
        <scheme val="minor"/>
      </rPr>
      <t>1</t>
    </r>
    <r>
      <rPr>
        <sz val="11"/>
        <color theme="1"/>
        <rFont val="Calibri"/>
        <family val="2"/>
        <scheme val="minor"/>
      </rPr>
      <t xml:space="preserve"> + ($25)/(1.02)</t>
    </r>
    <r>
      <rPr>
        <vertAlign val="superscript"/>
        <sz val="11"/>
        <color theme="1"/>
        <rFont val="Calibri"/>
        <family val="2"/>
        <scheme val="minor"/>
      </rPr>
      <t>2</t>
    </r>
    <r>
      <rPr>
        <sz val="11"/>
        <color theme="1"/>
        <rFont val="Calibri"/>
        <family val="2"/>
        <scheme val="minor"/>
      </rPr>
      <t xml:space="preserve"> + …….($25)/(1.02)</t>
    </r>
    <r>
      <rPr>
        <vertAlign val="superscript"/>
        <sz val="11"/>
        <color theme="1"/>
        <rFont val="Calibri"/>
        <family val="2"/>
        <scheme val="minor"/>
      </rPr>
      <t>10</t>
    </r>
    <r>
      <rPr>
        <sz val="11"/>
        <color theme="1"/>
        <rFont val="Calibri"/>
        <family val="2"/>
        <scheme val="minor"/>
      </rPr>
      <t xml:space="preserve"> + $1,000/(1.02)</t>
    </r>
    <r>
      <rPr>
        <vertAlign val="superscript"/>
        <sz val="11"/>
        <color theme="1"/>
        <rFont val="Calibri"/>
        <family val="2"/>
        <scheme val="minor"/>
      </rPr>
      <t>10</t>
    </r>
  </si>
  <si>
    <t>YTMS increase, Price falls</t>
  </si>
  <si>
    <t xml:space="preserve">When YTM fell, </t>
  </si>
  <si>
    <r>
      <t>$&gt;1000 = ($50/2)/(1+i)</t>
    </r>
    <r>
      <rPr>
        <vertAlign val="superscript"/>
        <sz val="11"/>
        <color theme="1"/>
        <rFont val="Calibri"/>
        <family val="2"/>
        <scheme val="minor"/>
      </rPr>
      <t>1</t>
    </r>
    <r>
      <rPr>
        <sz val="11"/>
        <color theme="1"/>
        <rFont val="Calibri"/>
        <family val="2"/>
        <scheme val="minor"/>
      </rPr>
      <t xml:space="preserve"> + ($50/2)/(1+i)</t>
    </r>
    <r>
      <rPr>
        <vertAlign val="superscript"/>
        <sz val="11"/>
        <color theme="1"/>
        <rFont val="Calibri"/>
        <family val="2"/>
        <scheme val="minor"/>
      </rPr>
      <t>2</t>
    </r>
    <r>
      <rPr>
        <sz val="11"/>
        <color theme="1"/>
        <rFont val="Calibri"/>
        <family val="2"/>
        <scheme val="minor"/>
      </rPr>
      <t xml:space="preserve"> + …….($50/2)/(1+i)</t>
    </r>
    <r>
      <rPr>
        <vertAlign val="superscript"/>
        <sz val="11"/>
        <color theme="1"/>
        <rFont val="Calibri"/>
        <family val="2"/>
        <scheme val="minor"/>
      </rPr>
      <t>10</t>
    </r>
    <r>
      <rPr>
        <sz val="11"/>
        <color theme="1"/>
        <rFont val="Calibri"/>
        <family val="2"/>
        <scheme val="minor"/>
      </rPr>
      <t xml:space="preserve"> + $1,000/(1+i)</t>
    </r>
    <r>
      <rPr>
        <vertAlign val="superscript"/>
        <sz val="11"/>
        <color theme="1"/>
        <rFont val="Calibri"/>
        <family val="2"/>
        <scheme val="minor"/>
      </rPr>
      <t>10</t>
    </r>
  </si>
  <si>
    <t>Coupon rate &gt; YTM or also we can say YTM &lt; Coupon</t>
  </si>
  <si>
    <t>Looking at the bond equation above in row 9, in order for the price to be above 1,000, denominator must be smaller</t>
  </si>
  <si>
    <t>2) Bond is priced &gt; par:                       Price &gt; $1,000</t>
  </si>
  <si>
    <r>
      <t>$1,000.00 = ($50/2)/(1.025)</t>
    </r>
    <r>
      <rPr>
        <vertAlign val="superscript"/>
        <sz val="11"/>
        <color theme="1"/>
        <rFont val="Calibri"/>
        <family val="2"/>
        <scheme val="minor"/>
      </rPr>
      <t>1</t>
    </r>
    <r>
      <rPr>
        <sz val="11"/>
        <color theme="1"/>
        <rFont val="Calibri"/>
        <family val="2"/>
        <scheme val="minor"/>
      </rPr>
      <t xml:space="preserve"> + ($50/2)/(1.025)</t>
    </r>
    <r>
      <rPr>
        <vertAlign val="superscript"/>
        <sz val="11"/>
        <color theme="1"/>
        <rFont val="Calibri"/>
        <family val="2"/>
        <scheme val="minor"/>
      </rPr>
      <t>2</t>
    </r>
    <r>
      <rPr>
        <sz val="11"/>
        <color theme="1"/>
        <rFont val="Calibri"/>
        <family val="2"/>
        <scheme val="minor"/>
      </rPr>
      <t xml:space="preserve"> + …….($50/2)/(1.025)</t>
    </r>
    <r>
      <rPr>
        <vertAlign val="superscript"/>
        <sz val="11"/>
        <color theme="1"/>
        <rFont val="Calibri"/>
        <family val="2"/>
        <scheme val="minor"/>
      </rPr>
      <t>10</t>
    </r>
    <r>
      <rPr>
        <sz val="11"/>
        <color theme="1"/>
        <rFont val="Calibri"/>
        <family val="2"/>
        <scheme val="minor"/>
      </rPr>
      <t xml:space="preserve"> + $1,000/(1.025)</t>
    </r>
    <r>
      <rPr>
        <vertAlign val="superscript"/>
        <sz val="11"/>
        <color theme="1"/>
        <rFont val="Calibri"/>
        <family val="2"/>
        <scheme val="minor"/>
      </rPr>
      <t>10</t>
    </r>
  </si>
  <si>
    <t>Coupon rate = YTM</t>
  </si>
  <si>
    <t>1) Bond is priced at par:                       Price = $1,000</t>
  </si>
  <si>
    <t xml:space="preserve">Conditions under which these prices occur: </t>
  </si>
  <si>
    <t>3) Bond is priced below par:              Price &lt; $1,000</t>
  </si>
  <si>
    <t>2) Bond is priced above par:              Price &gt; $1,000</t>
  </si>
  <si>
    <t xml:space="preserve">Three categories of bond prices: </t>
  </si>
  <si>
    <t>YTM:</t>
  </si>
  <si>
    <t>Price:</t>
  </si>
  <si>
    <t>Finding 1/2 YTM:</t>
  </si>
  <si>
    <t>Check to see if it seems right</t>
  </si>
  <si>
    <t>Rate function:  to find "I"</t>
  </si>
  <si>
    <t>Bond price</t>
  </si>
  <si>
    <t>where "i" = 1/2 of the YTM</t>
  </si>
  <si>
    <t>C/4</t>
  </si>
  <si>
    <t>YEARS</t>
  </si>
  <si>
    <t xml:space="preserve">Ann D = </t>
  </si>
  <si>
    <t>Num/Den</t>
  </si>
  <si>
    <t>HALF YEARS</t>
  </si>
  <si>
    <t>C numerator</t>
  </si>
  <si>
    <t>Price bond</t>
  </si>
  <si>
    <t>t+t2</t>
  </si>
  <si>
    <t>(1+i)^2</t>
  </si>
  <si>
    <t>Time wtd PV</t>
  </si>
  <si>
    <t>C/(1+i)^t</t>
  </si>
  <si>
    <t>(I+i)^t</t>
  </si>
  <si>
    <t>C</t>
  </si>
  <si>
    <t>t</t>
  </si>
  <si>
    <t>Year</t>
  </si>
  <si>
    <t>5 x 8 / 7</t>
  </si>
  <si>
    <t>Convexity is the "annual Convexity" In Cell I33</t>
  </si>
  <si>
    <t>MD is 4.80 divided by 1 plus the periodic rate = 4.80/1.04</t>
  </si>
  <si>
    <t>Here, Macaulay duration is effectively "Annual D" ---that is the NUMBER OF YEARS</t>
  </si>
  <si>
    <t>Difference</t>
  </si>
  <si>
    <t>Convexity</t>
  </si>
  <si>
    <t>Predicted New Price</t>
  </si>
  <si>
    <t>Modified Duration</t>
  </si>
  <si>
    <t>Actual New Price</t>
  </si>
  <si>
    <t>Macaulay Duration</t>
  </si>
  <si>
    <t>Actual changed</t>
  </si>
  <si>
    <t xml:space="preserve">Check:  </t>
  </si>
  <si>
    <t>Total Predicted Change</t>
  </si>
  <si>
    <t>Frequency</t>
  </si>
  <si>
    <r>
      <t>Price change predicted by convexity = 0.5 x Convexity x Original price x (Change in rate)</t>
    </r>
    <r>
      <rPr>
        <vertAlign val="superscript"/>
        <sz val="11"/>
        <color theme="0"/>
        <rFont val="Calibri"/>
        <family val="2"/>
        <scheme val="minor"/>
      </rPr>
      <t>2</t>
    </r>
  </si>
  <si>
    <t>Convexity Adjustment</t>
  </si>
  <si>
    <t>Yield</t>
  </si>
  <si>
    <t>Price change predicted by duration = -D x Original price x Change in rate</t>
  </si>
  <si>
    <t>Modified Duration Predicts</t>
  </si>
  <si>
    <t>Life in Years</t>
  </si>
  <si>
    <t>Coupon Rate</t>
  </si>
  <si>
    <t>Face Value</t>
  </si>
  <si>
    <t>If Yield Changes By</t>
  </si>
  <si>
    <t>Bond Price</t>
  </si>
  <si>
    <t>Price CD</t>
  </si>
  <si>
    <t>Duration with specified interest rate change</t>
  </si>
  <si>
    <t>Original Duration</t>
  </si>
  <si>
    <t>Convexity is the "annual Convexity" In Cell I36</t>
  </si>
  <si>
    <t>MD is Macaulay duration divided by 1 + periodic yield (which is annual here)</t>
  </si>
  <si>
    <t>Macaulay Duration (new)</t>
  </si>
  <si>
    <t>Macaulay Duration (original)</t>
  </si>
  <si>
    <t>Yield (original)</t>
  </si>
  <si>
    <t>`</t>
  </si>
  <si>
    <t>CD Price (new)</t>
  </si>
  <si>
    <t>CD Price (original)</t>
  </si>
  <si>
    <t>Variance % liability</t>
  </si>
  <si>
    <t>Variance</t>
  </si>
  <si>
    <t>Liability to hedge (prior tab)</t>
  </si>
  <si>
    <t>Total investment</t>
  </si>
  <si>
    <t>Portfolio duration</t>
  </si>
  <si>
    <t>Original par value</t>
  </si>
  <si>
    <t>New value of investment</t>
  </si>
  <si>
    <t>Weights</t>
  </si>
  <si>
    <t>Duration</t>
  </si>
  <si>
    <t>Price (%)</t>
  </si>
  <si>
    <t>Coupon</t>
  </si>
  <si>
    <t>Maturity date</t>
  </si>
  <si>
    <t>Settlement date</t>
  </si>
  <si>
    <t>Bond #</t>
  </si>
  <si>
    <t>Dates</t>
  </si>
  <si>
    <t>Bond portfolio</t>
  </si>
  <si>
    <t>Change on previous tab too</t>
  </si>
  <si>
    <t>Yield Change</t>
  </si>
  <si>
    <t>PAR VALUE</t>
  </si>
  <si>
    <t>Initial investment</t>
  </si>
  <si>
    <t>Duration of liability</t>
  </si>
  <si>
    <t>Liability to hedge</t>
  </si>
  <si>
    <t>biyua</t>
  </si>
  <si>
    <t>LAPTOP-KLQC23A4</t>
  </si>
  <si>
    <t>DESKTOP-6E4S8K3</t>
  </si>
  <si>
    <t>jgarner47</t>
  </si>
  <si>
    <t>COB-GARJ-NW3088</t>
  </si>
  <si>
    <t xml:space="preserve">GT Login </t>
  </si>
  <si>
    <t>Example: Mine is jgarner47</t>
  </si>
  <si>
    <t>Do not put your 9 digit Student ID!</t>
  </si>
  <si>
    <t>Last Name</t>
  </si>
  <si>
    <t>hardcoded</t>
  </si>
  <si>
    <t>Last name ONLY</t>
  </si>
  <si>
    <t>Sum up column C</t>
  </si>
  <si>
    <t xml:space="preserve">When submitting this file, the ORIGINAL inputs must all be there! </t>
  </si>
  <si>
    <t>You can change inputs while working on the file, but please change back to original inputs</t>
  </si>
  <si>
    <t>Alok</t>
  </si>
  <si>
    <t>LAPTOP-LBF9F055</t>
  </si>
  <si>
    <t>Singh</t>
  </si>
  <si>
    <t>asingh3200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</si>
</sst>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3" formatCode="_(* #,##0.00_);_(* \(#,##0.00\);_(* &quot;-&quot;??_);_(@_)"/>
    <numFmt numFmtId="164" formatCode="&quot;$&quot;#,##0.00_);[Red]\(&quot;$&quot;#,##0.00\)"/>
    <numFmt numFmtId="165" formatCode="_(&quot;$&quot;* #,##0.00_);_(&quot;$&quot;* \(#,##0.00\);_(&quot;$&quot;* &quot;-&quot;??_);_(@_)"/>
    <numFmt numFmtId="166" formatCode="_(* #,##0.00_);_(* \(#,##0.00\);_(* &quot;-&quot;??_);_(@_)"/>
    <numFmt numFmtId="167" formatCode="0.0000"/>
    <numFmt numFmtId="168" formatCode="&quot;$&quot;#,##0.000_);[Red]\(&quot;$&quot;#,##0.000\)"/>
    <numFmt numFmtId="169" formatCode="_(&quot;$&quot;* #,##0.0000_);_(&quot;$&quot;* \(#,##0.0000\);_(&quot;$&quot;* &quot;-&quot;??_);_(@_)"/>
    <numFmt numFmtId="170" formatCode="0.000%"/>
    <numFmt numFmtId="171" formatCode="_(* #,##0_);_(* \(#,##0\);_(* &quot;-&quot;??_);_(@_)"/>
    <numFmt numFmtId="172" formatCode="0.000"/>
    <numFmt numFmtId="173" formatCode="_(* #,##0.0000_);_(* \(#,##0.0000\);_(* &quot;-&quot;??_);_(@_)"/>
    <numFmt numFmtId="174" formatCode="0.000000%"/>
    <numFmt numFmtId="175" formatCode="&quot;$&quot;#,##0.00"/>
    <numFmt numFmtId="176" formatCode="0.000000"/>
    <numFmt numFmtId="177" formatCode="&quot;$&quot;#,##0.00000000_);[Red]\(&quot;$&quot;#,##0.00000000\)"/>
    <numFmt numFmtId="178" formatCode="_ * #,##0.00000_ ;_ * \-#,##0.00000_ ;_ * &quot;-&quot;??_ ;_ @_ "/>
  </numFmts>
  <fonts count="15"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rgb="FFFF0000"/>
      <name val="Calibri"/>
      <family val="2"/>
      <scheme val="minor"/>
    </font>
    <font>
      <vertAlign val="superscript"/>
      <sz val="11"/>
      <color theme="1"/>
      <name val="Calibri"/>
      <family val="2"/>
      <scheme val="minor"/>
    </font>
    <font>
      <sz val="11"/>
      <name val="Calibri"/>
      <family val="2"/>
      <scheme val="minor"/>
    </font>
    <font>
      <b/>
      <sz val="11"/>
      <name val="Calibri"/>
      <family val="2"/>
      <scheme val="minor"/>
    </font>
    <font>
      <sz val="11"/>
      <color theme="0"/>
      <name val="Calibri"/>
      <family val="2"/>
      <scheme val="minor"/>
    </font>
    <font>
      <sz val="11"/>
      <color indexed="9"/>
      <name val="Times New Roman"/>
      <family val="1"/>
    </font>
    <font>
      <sz val="11"/>
      <color theme="4"/>
      <name val="Calibri"/>
      <family val="2"/>
      <scheme val="minor"/>
    </font>
    <font>
      <vertAlign val="superscript"/>
      <sz val="11"/>
      <color theme="0"/>
      <name val="Calibri"/>
      <family val="2"/>
      <scheme val="minor"/>
    </font>
    <font>
      <b/>
      <sz val="11"/>
      <color rgb="FFFF0000"/>
      <name val="Calibri"/>
      <family val="2"/>
      <scheme val="minor"/>
    </font>
  </fonts>
  <fills count="7">
    <fill>
      <patternFill patternType="none"/>
    </fill>
    <fill>
      <patternFill patternType="gray125"/>
    </fill>
    <fill>
      <patternFill patternType="solid">
        <fgColor theme="2"/>
        <bgColor indexed="64"/>
      </patternFill>
    </fill>
    <fill>
      <patternFill patternType="solid">
        <fgColor theme="6" tint="0.79998168889431442"/>
        <bgColor indexed="64"/>
      </patternFill>
    </fill>
    <fill>
      <patternFill patternType="solid">
        <fgColor theme="2"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5">
    <xf numFmtId="0" fontId="0" fillId="0" borderId="0"/>
    <xf numFmtId="165" fontId="2" fillId="0" borderId="0" applyFont="0" applyFill="0" applyBorder="0" applyAlignment="0" applyProtection="0"/>
    <xf numFmtId="0" fontId="5" fillId="0" borderId="0"/>
    <xf numFmtId="166" fontId="2" fillId="0" borderId="0" applyFont="0" applyFill="0" applyBorder="0" applyAlignment="0" applyProtection="0"/>
    <xf numFmtId="9" fontId="2" fillId="0" borderId="0" applyFont="0" applyFill="0" applyBorder="0" applyAlignment="0" applyProtection="0"/>
  </cellStyleXfs>
  <cellXfs count="163">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166" fontId="0" fillId="0" borderId="0" xfId="0" applyNumberFormat="1"/>
    <xf numFmtId="165" fontId="0" fillId="0" borderId="0" xfId="0" applyNumberFormat="1"/>
    <xf numFmtId="0" fontId="3" fillId="0" borderId="0" xfId="0" applyFont="1"/>
    <xf numFmtId="0" fontId="3" fillId="0" borderId="5" xfId="0" applyFont="1" applyBorder="1"/>
    <xf numFmtId="0" fontId="4" fillId="0" borderId="5" xfId="0" applyFont="1" applyBorder="1"/>
    <xf numFmtId="164" fontId="0" fillId="0" borderId="0" xfId="0" applyNumberFormat="1"/>
    <xf numFmtId="0" fontId="0" fillId="0" borderId="5" xfId="0" applyBorder="1"/>
    <xf numFmtId="0" fontId="4" fillId="0" borderId="0" xfId="0" applyFont="1"/>
    <xf numFmtId="0" fontId="0" fillId="0" borderId="0" xfId="0" applyAlignment="1">
      <alignment wrapText="1"/>
    </xf>
    <xf numFmtId="165" fontId="0" fillId="2" borderId="5" xfId="1" applyFont="1" applyFill="1" applyBorder="1"/>
    <xf numFmtId="0" fontId="0" fillId="0" borderId="0" xfId="0" applyAlignment="1">
      <alignment horizontal="right" wrapText="1"/>
    </xf>
    <xf numFmtId="0" fontId="0" fillId="2" borderId="5" xfId="0" applyFill="1" applyBorder="1"/>
    <xf numFmtId="164" fontId="0" fillId="3" borderId="5" xfId="0" applyNumberFormat="1" applyFill="1" applyBorder="1"/>
    <xf numFmtId="164" fontId="0" fillId="3" borderId="7" xfId="0" applyNumberFormat="1" applyFill="1" applyBorder="1"/>
    <xf numFmtId="164" fontId="0" fillId="2" borderId="8" xfId="0" applyNumberFormat="1" applyFill="1" applyBorder="1"/>
    <xf numFmtId="168" fontId="0" fillId="2" borderId="5" xfId="0" applyNumberFormat="1" applyFill="1" applyBorder="1"/>
    <xf numFmtId="0" fontId="0" fillId="2" borderId="2" xfId="0" applyFill="1" applyBorder="1"/>
    <xf numFmtId="0" fontId="3" fillId="0" borderId="0" xfId="0" applyFont="1" applyAlignment="1">
      <alignment horizontal="center"/>
    </xf>
    <xf numFmtId="0" fontId="0" fillId="0" borderId="9" xfId="0" applyBorder="1"/>
    <xf numFmtId="0" fontId="0" fillId="0" borderId="6" xfId="0" applyBorder="1"/>
    <xf numFmtId="0" fontId="0" fillId="0" borderId="10" xfId="0" applyBorder="1"/>
    <xf numFmtId="0" fontId="0" fillId="0" borderId="11" xfId="0" applyBorder="1"/>
    <xf numFmtId="0" fontId="0" fillId="0" borderId="4" xfId="0" applyBorder="1"/>
    <xf numFmtId="0" fontId="3" fillId="0" borderId="4" xfId="0" applyFont="1" applyBorder="1"/>
    <xf numFmtId="0" fontId="0" fillId="0" borderId="12" xfId="0" applyBorder="1"/>
    <xf numFmtId="0" fontId="0" fillId="0" borderId="13" xfId="0" applyBorder="1"/>
    <xf numFmtId="0" fontId="3" fillId="0" borderId="13" xfId="0" applyFont="1" applyBorder="1"/>
    <xf numFmtId="0" fontId="3" fillId="0" borderId="14" xfId="0" applyFont="1" applyBorder="1"/>
    <xf numFmtId="0" fontId="3" fillId="2" borderId="8" xfId="0" applyFont="1" applyFill="1" applyBorder="1"/>
    <xf numFmtId="10" fontId="0" fillId="2" borderId="8" xfId="4" applyNumberFormat="1" applyFont="1" applyFill="1" applyBorder="1"/>
    <xf numFmtId="0" fontId="0" fillId="0" borderId="0" xfId="0" applyAlignment="1">
      <alignment horizontal="right"/>
    </xf>
    <xf numFmtId="10" fontId="0" fillId="2" borderId="8" xfId="0" applyNumberFormat="1" applyFill="1" applyBorder="1"/>
    <xf numFmtId="169" fontId="0" fillId="2" borderId="8" xfId="1" applyNumberFormat="1" applyFont="1" applyFill="1" applyBorder="1"/>
    <xf numFmtId="0" fontId="6" fillId="0" borderId="5" xfId="0" applyFont="1" applyBorder="1"/>
    <xf numFmtId="0" fontId="4" fillId="0" borderId="2" xfId="0" applyFont="1" applyBorder="1"/>
    <xf numFmtId="0" fontId="0" fillId="0" borderId="1" xfId="0" applyBorder="1"/>
    <xf numFmtId="0" fontId="4" fillId="0" borderId="7" xfId="0" applyFont="1" applyBorder="1"/>
    <xf numFmtId="0" fontId="0" fillId="0" borderId="7" xfId="0" applyBorder="1"/>
    <xf numFmtId="0" fontId="8" fillId="0" borderId="0" xfId="0" applyFont="1"/>
    <xf numFmtId="0" fontId="9" fillId="0" borderId="5" xfId="0" applyFont="1" applyBorder="1" applyAlignment="1">
      <alignment horizontal="right"/>
    </xf>
    <xf numFmtId="2" fontId="9" fillId="2" borderId="5" xfId="0" applyNumberFormat="1" applyFont="1" applyFill="1" applyBorder="1" applyAlignment="1">
      <alignment horizontal="right"/>
    </xf>
    <xf numFmtId="0" fontId="9" fillId="0" borderId="0" xfId="0" applyFont="1" applyAlignment="1">
      <alignment horizontal="right"/>
    </xf>
    <xf numFmtId="167" fontId="3" fillId="2" borderId="5" xfId="0" applyNumberFormat="1" applyFont="1" applyFill="1" applyBorder="1" applyAlignment="1">
      <alignment horizontal="right"/>
    </xf>
    <xf numFmtId="0" fontId="3" fillId="0" borderId="5" xfId="0" applyFont="1" applyBorder="1" applyAlignment="1">
      <alignment horizontal="right"/>
    </xf>
    <xf numFmtId="0" fontId="8" fillId="0" borderId="5" xfId="0" applyFont="1" applyBorder="1" applyAlignment="1">
      <alignment horizontal="right"/>
    </xf>
    <xf numFmtId="2" fontId="8" fillId="2" borderId="5" xfId="0" applyNumberFormat="1" applyFont="1" applyFill="1" applyBorder="1" applyAlignment="1">
      <alignment horizontal="right"/>
    </xf>
    <xf numFmtId="0" fontId="8" fillId="0" borderId="0" xfId="0" applyFont="1" applyAlignment="1">
      <alignment horizontal="right"/>
    </xf>
    <xf numFmtId="167" fontId="0" fillId="2" borderId="5" xfId="0" applyNumberFormat="1" applyFill="1" applyBorder="1" applyAlignment="1">
      <alignment horizontal="right"/>
    </xf>
    <xf numFmtId="0" fontId="0" fillId="0" borderId="5" xfId="0" applyBorder="1" applyAlignment="1">
      <alignment horizontal="right"/>
    </xf>
    <xf numFmtId="2" fontId="8" fillId="2" borderId="5" xfId="0" applyNumberFormat="1" applyFont="1" applyFill="1" applyBorder="1"/>
    <xf numFmtId="167" fontId="0" fillId="2" borderId="7" xfId="0" applyNumberFormat="1" applyFill="1" applyBorder="1"/>
    <xf numFmtId="0" fontId="8" fillId="2" borderId="5" xfId="0" applyFont="1" applyFill="1" applyBorder="1"/>
    <xf numFmtId="166" fontId="0" fillId="2" borderId="5" xfId="0" applyNumberFormat="1" applyFill="1" applyBorder="1"/>
    <xf numFmtId="0" fontId="0" fillId="0" borderId="15" xfId="0" applyBorder="1"/>
    <xf numFmtId="0" fontId="9" fillId="0" borderId="11" xfId="0" applyFont="1" applyBorder="1" applyAlignment="1">
      <alignment horizontal="right"/>
    </xf>
    <xf numFmtId="0" fontId="9" fillId="0" borderId="0" xfId="0" quotePrefix="1" applyFont="1" applyAlignment="1">
      <alignment horizontal="right"/>
    </xf>
    <xf numFmtId="0" fontId="3" fillId="0" borderId="0" xfId="0" applyFont="1" applyAlignment="1">
      <alignment horizontal="right"/>
    </xf>
    <xf numFmtId="0" fontId="3" fillId="0" borderId="6" xfId="0" applyFont="1" applyBorder="1" applyAlignment="1">
      <alignment horizontal="right"/>
    </xf>
    <xf numFmtId="0" fontId="3" fillId="0" borderId="10" xfId="0" applyFont="1" applyBorder="1" applyAlignment="1">
      <alignment horizontal="right"/>
    </xf>
    <xf numFmtId="0" fontId="9" fillId="0" borderId="2" xfId="0" quotePrefix="1" applyFont="1" applyBorder="1" applyAlignment="1">
      <alignment horizontal="right"/>
    </xf>
    <xf numFmtId="0" fontId="9" fillId="0" borderId="3" xfId="0" applyFont="1" applyBorder="1" applyAlignment="1">
      <alignment horizontal="right"/>
    </xf>
    <xf numFmtId="0" fontId="3" fillId="0" borderId="3" xfId="0" applyFont="1" applyBorder="1" applyAlignment="1">
      <alignment horizontal="right"/>
    </xf>
    <xf numFmtId="0" fontId="3" fillId="0" borderId="1" xfId="0" applyFont="1" applyBorder="1" applyAlignment="1">
      <alignment horizontal="right"/>
    </xf>
    <xf numFmtId="0" fontId="8" fillId="0" borderId="0" xfId="0" quotePrefix="1" applyFont="1"/>
    <xf numFmtId="166" fontId="0" fillId="0" borderId="0" xfId="3" applyFont="1"/>
    <xf numFmtId="0" fontId="0" fillId="4" borderId="0" xfId="0" applyFill="1"/>
    <xf numFmtId="164" fontId="0" fillId="4" borderId="0" xfId="0" applyNumberFormat="1" applyFill="1"/>
    <xf numFmtId="0" fontId="3" fillId="4" borderId="0" xfId="0" applyFont="1" applyFill="1"/>
    <xf numFmtId="0" fontId="10" fillId="0" borderId="0" xfId="0" applyFont="1"/>
    <xf numFmtId="166" fontId="8" fillId="5" borderId="5" xfId="3" applyFont="1" applyFill="1" applyBorder="1"/>
    <xf numFmtId="0" fontId="8" fillId="5" borderId="5" xfId="0" applyFont="1" applyFill="1" applyBorder="1"/>
    <xf numFmtId="164" fontId="8" fillId="2" borderId="5" xfId="0" applyNumberFormat="1" applyFont="1" applyFill="1" applyBorder="1"/>
    <xf numFmtId="166" fontId="0" fillId="0" borderId="5" xfId="3" applyFont="1" applyBorder="1"/>
    <xf numFmtId="164" fontId="3" fillId="0" borderId="0" xfId="0" applyNumberFormat="1" applyFont="1"/>
    <xf numFmtId="164" fontId="10" fillId="0" borderId="0" xfId="0" applyNumberFormat="1" applyFont="1"/>
    <xf numFmtId="170" fontId="8" fillId="2" borderId="5" xfId="4" applyNumberFormat="1" applyFont="1" applyFill="1" applyBorder="1"/>
    <xf numFmtId="4" fontId="8" fillId="2" borderId="5" xfId="0" applyNumberFormat="1" applyFont="1" applyFill="1" applyBorder="1"/>
    <xf numFmtId="0" fontId="11" fillId="0" borderId="0" xfId="0" applyFont="1" applyProtection="1">
      <protection locked="0"/>
    </xf>
    <xf numFmtId="0" fontId="12" fillId="0" borderId="5" xfId="0" applyFont="1" applyBorder="1" applyProtection="1">
      <protection locked="0"/>
    </xf>
    <xf numFmtId="0" fontId="9" fillId="0" borderId="5" xfId="0" applyFont="1" applyBorder="1"/>
    <xf numFmtId="10" fontId="8" fillId="2" borderId="5" xfId="4" applyNumberFormat="1" applyFont="1" applyFill="1" applyBorder="1"/>
    <xf numFmtId="4" fontId="8" fillId="2" borderId="5" xfId="3" applyNumberFormat="1" applyFont="1" applyFill="1" applyBorder="1"/>
    <xf numFmtId="9" fontId="11" fillId="0" borderId="0" xfId="0" applyNumberFormat="1" applyFont="1" applyProtection="1">
      <protection locked="0"/>
    </xf>
    <xf numFmtId="10" fontId="12" fillId="0" borderId="5" xfId="0" applyNumberFormat="1" applyFont="1" applyBorder="1" applyProtection="1">
      <protection locked="0"/>
    </xf>
    <xf numFmtId="10" fontId="0" fillId="2" borderId="5" xfId="4" applyNumberFormat="1" applyFont="1" applyFill="1" applyBorder="1"/>
    <xf numFmtId="171" fontId="11" fillId="0" borderId="0" xfId="3" applyNumberFormat="1" applyFont="1" applyProtection="1">
      <protection locked="0"/>
    </xf>
    <xf numFmtId="10" fontId="0" fillId="0" borderId="0" xfId="4" applyNumberFormat="1" applyFont="1"/>
    <xf numFmtId="4" fontId="0" fillId="0" borderId="0" xfId="3" applyNumberFormat="1" applyFont="1"/>
    <xf numFmtId="171" fontId="12" fillId="0" borderId="5" xfId="3" applyNumberFormat="1" applyFont="1" applyBorder="1" applyProtection="1">
      <protection locked="0"/>
    </xf>
    <xf numFmtId="10" fontId="12" fillId="0" borderId="0" xfId="0" applyNumberFormat="1" applyFont="1" applyProtection="1">
      <protection locked="0"/>
    </xf>
    <xf numFmtId="164" fontId="11" fillId="0" borderId="0" xfId="0" applyNumberFormat="1" applyFont="1"/>
    <xf numFmtId="172" fontId="8" fillId="2" borderId="5" xfId="0" applyNumberFormat="1" applyFont="1" applyFill="1" applyBorder="1" applyAlignment="1">
      <alignment horizontal="right"/>
    </xf>
    <xf numFmtId="166" fontId="8" fillId="2" borderId="5" xfId="3" applyFont="1" applyFill="1" applyBorder="1"/>
    <xf numFmtId="166" fontId="0" fillId="2" borderId="7" xfId="3" applyFont="1" applyFill="1" applyBorder="1"/>
    <xf numFmtId="165" fontId="3" fillId="2" borderId="7" xfId="1" applyFont="1" applyFill="1" applyBorder="1"/>
    <xf numFmtId="0" fontId="8" fillId="0" borderId="15" xfId="0" applyFont="1" applyBorder="1"/>
    <xf numFmtId="0" fontId="9" fillId="4" borderId="9" xfId="0" applyFont="1" applyFill="1" applyBorder="1" applyAlignment="1">
      <alignment horizontal="right"/>
    </xf>
    <xf numFmtId="0" fontId="9" fillId="4" borderId="6" xfId="0" quotePrefix="1" applyFont="1" applyFill="1" applyBorder="1" applyAlignment="1">
      <alignment horizontal="right"/>
    </xf>
    <xf numFmtId="0" fontId="3" fillId="4" borderId="6" xfId="0" applyFont="1" applyFill="1" applyBorder="1" applyAlignment="1">
      <alignment horizontal="right"/>
    </xf>
    <xf numFmtId="0" fontId="3" fillId="4" borderId="10" xfId="0" applyFont="1" applyFill="1" applyBorder="1" applyAlignment="1">
      <alignment horizontal="right"/>
    </xf>
    <xf numFmtId="0" fontId="9" fillId="4" borderId="2" xfId="0" quotePrefix="1" applyFont="1" applyFill="1" applyBorder="1" applyAlignment="1">
      <alignment horizontal="right"/>
    </xf>
    <xf numFmtId="0" fontId="9" fillId="4" borderId="3" xfId="0" applyFont="1" applyFill="1" applyBorder="1" applyAlignment="1">
      <alignment horizontal="right"/>
    </xf>
    <xf numFmtId="0" fontId="3" fillId="4" borderId="3" xfId="0" applyFont="1" applyFill="1" applyBorder="1" applyAlignment="1">
      <alignment horizontal="right"/>
    </xf>
    <xf numFmtId="0" fontId="9" fillId="4" borderId="11" xfId="0" applyFont="1" applyFill="1" applyBorder="1" applyAlignment="1">
      <alignment horizontal="right"/>
    </xf>
    <xf numFmtId="0" fontId="9" fillId="4" borderId="0" xfId="0" quotePrefix="1" applyFont="1" applyFill="1" applyAlignment="1">
      <alignment horizontal="right"/>
    </xf>
    <xf numFmtId="0" fontId="3" fillId="4" borderId="0" xfId="0" applyFont="1" applyFill="1" applyAlignment="1">
      <alignment horizontal="right"/>
    </xf>
    <xf numFmtId="0" fontId="3" fillId="4" borderId="1" xfId="0" applyFont="1" applyFill="1" applyBorder="1" applyAlignment="1">
      <alignment horizontal="right"/>
    </xf>
    <xf numFmtId="2" fontId="8" fillId="0" borderId="0" xfId="0" applyNumberFormat="1" applyFont="1"/>
    <xf numFmtId="173" fontId="8" fillId="2" borderId="5" xfId="3" applyNumberFormat="1" applyFont="1" applyFill="1" applyBorder="1"/>
    <xf numFmtId="173" fontId="0" fillId="2" borderId="5" xfId="3" applyNumberFormat="1" applyFont="1" applyFill="1" applyBorder="1"/>
    <xf numFmtId="10" fontId="8" fillId="0" borderId="0" xfId="4" applyNumberFormat="1" applyFont="1"/>
    <xf numFmtId="164" fontId="8" fillId="0" borderId="5" xfId="0" applyNumberFormat="1" applyFont="1" applyBorder="1"/>
    <xf numFmtId="174" fontId="0" fillId="2" borderId="16" xfId="4" applyNumberFormat="1" applyFont="1" applyFill="1" applyBorder="1"/>
    <xf numFmtId="0" fontId="0" fillId="0" borderId="17" xfId="0" applyBorder="1"/>
    <xf numFmtId="175" fontId="0" fillId="2" borderId="16" xfId="1" applyNumberFormat="1" applyFont="1" applyFill="1" applyBorder="1"/>
    <xf numFmtId="164" fontId="0" fillId="2" borderId="16" xfId="1" applyNumberFormat="1" applyFont="1" applyFill="1" applyBorder="1"/>
    <xf numFmtId="0" fontId="0" fillId="0" borderId="17" xfId="0" applyBorder="1" applyAlignment="1">
      <alignment wrapText="1"/>
    </xf>
    <xf numFmtId="0" fontId="0" fillId="0" borderId="18" xfId="0" applyBorder="1" applyAlignment="1">
      <alignment horizontal="right" wrapText="1"/>
    </xf>
    <xf numFmtId="0" fontId="0" fillId="0" borderId="17" xfId="0" applyBorder="1" applyAlignment="1">
      <alignment horizontal="right" wrapText="1"/>
    </xf>
    <xf numFmtId="9" fontId="3" fillId="4" borderId="16" xfId="4" applyFont="1" applyFill="1" applyBorder="1" applyAlignment="1">
      <alignment wrapText="1"/>
    </xf>
    <xf numFmtId="165" fontId="0" fillId="2" borderId="17" xfId="1" applyFont="1" applyFill="1" applyBorder="1"/>
    <xf numFmtId="0" fontId="3" fillId="2" borderId="19" xfId="0" applyFont="1" applyFill="1" applyBorder="1"/>
    <xf numFmtId="0" fontId="3" fillId="4" borderId="17" xfId="0" applyFont="1" applyFill="1" applyBorder="1" applyAlignment="1">
      <alignment wrapText="1"/>
    </xf>
    <xf numFmtId="10" fontId="0" fillId="0" borderId="0" xfId="0" applyNumberFormat="1"/>
    <xf numFmtId="165" fontId="0" fillId="2" borderId="5" xfId="0" applyNumberFormat="1" applyFill="1" applyBorder="1"/>
    <xf numFmtId="173" fontId="0" fillId="2" borderId="5" xfId="0" applyNumberFormat="1" applyFill="1" applyBorder="1"/>
    <xf numFmtId="10" fontId="3" fillId="2" borderId="5" xfId="4" applyNumberFormat="1" applyFont="1" applyFill="1" applyBorder="1"/>
    <xf numFmtId="170" fontId="4" fillId="0" borderId="5" xfId="4" applyNumberFormat="1" applyFont="1" applyBorder="1"/>
    <xf numFmtId="14" fontId="4" fillId="0" borderId="5" xfId="0" applyNumberFormat="1" applyFont="1" applyBorder="1"/>
    <xf numFmtId="0" fontId="0" fillId="4" borderId="5" xfId="0" applyFill="1" applyBorder="1"/>
    <xf numFmtId="0" fontId="3" fillId="4" borderId="5" xfId="0" applyFont="1" applyFill="1" applyBorder="1" applyAlignment="1">
      <alignment wrapText="1"/>
    </xf>
    <xf numFmtId="0" fontId="3" fillId="4" borderId="5" xfId="0" applyFont="1" applyFill="1" applyBorder="1"/>
    <xf numFmtId="166" fontId="0" fillId="2" borderId="17" xfId="3" applyFont="1" applyFill="1" applyBorder="1"/>
    <xf numFmtId="176" fontId="0" fillId="2" borderId="5" xfId="0" applyNumberFormat="1" applyFill="1" applyBorder="1"/>
    <xf numFmtId="10" fontId="4" fillId="0" borderId="5" xfId="4" applyNumberFormat="1" applyFont="1" applyBorder="1"/>
    <xf numFmtId="9" fontId="4" fillId="0" borderId="5" xfId="4" applyFont="1" applyBorder="1"/>
    <xf numFmtId="0" fontId="14" fillId="0" borderId="0" xfId="0" applyFont="1"/>
    <xf numFmtId="0" fontId="0" fillId="6" borderId="20" xfId="0" applyFill="1" applyBorder="1"/>
    <xf numFmtId="0" fontId="0" fillId="6" borderId="21" xfId="0" applyFill="1" applyBorder="1"/>
    <xf numFmtId="177" fontId="0" fillId="0" borderId="0" xfId="0" applyNumberFormat="1"/>
    <xf numFmtId="166" fontId="0" fillId="0" borderId="5" xfId="0" applyNumberFormat="1" applyFill="1" applyBorder="1"/>
    <xf numFmtId="178" fontId="0" fillId="2" borderId="5" xfId="0" applyNumberFormat="1" applyFill="1" applyBorder="1"/>
    <xf numFmtId="178" fontId="3" fillId="2" borderId="7" xfId="0" applyNumberFormat="1" applyFont="1" applyFill="1" applyBorder="1"/>
    <xf numFmtId="43" fontId="8" fillId="2" borderId="5" xfId="0" applyNumberFormat="1" applyFont="1" applyFill="1" applyBorder="1"/>
    <xf numFmtId="0" fontId="0" fillId="0" borderId="5" xfId="0" applyFill="1" applyBorder="1"/>
    <xf numFmtId="43" fontId="0" fillId="0" borderId="5" xfId="0" applyNumberFormat="1" applyFill="1" applyBorder="1"/>
    <xf numFmtId="0" fontId="8" fillId="0" borderId="5" xfId="0" applyFont="1" applyFill="1" applyBorder="1"/>
    <xf numFmtId="43" fontId="8" fillId="0" borderId="5" xfId="0" applyNumberFormat="1" applyFont="1" applyFill="1" applyBorder="1"/>
    <xf numFmtId="0" fontId="8" fillId="0" borderId="0" xfId="0" applyFont="1" applyFill="1"/>
    <xf numFmtId="0" fontId="8" fillId="2" borderId="5" xfId="0" applyNumberFormat="1" applyFont="1" applyFill="1" applyBorder="1"/>
    <xf numFmtId="0" fontId="0" fillId="2" borderId="5" xfId="1" applyNumberFormat="1" applyFont="1" applyFill="1" applyBorder="1"/>
    <xf numFmtId="173" fontId="0" fillId="0" borderId="5" xfId="0" applyNumberFormat="1" applyFill="1" applyBorder="1"/>
    <xf numFmtId="173" fontId="0" fillId="2" borderId="17" xfId="4" applyNumberFormat="1" applyFont="1" applyFill="1" applyBorder="1"/>
    <xf numFmtId="0" fontId="3" fillId="0" borderId="0" xfId="0" applyFont="1" applyAlignment="1">
      <alignment horizontal="center"/>
    </xf>
    <xf numFmtId="0" fontId="3" fillId="0" borderId="17" xfId="0" applyFont="1" applyBorder="1" applyAlignment="1">
      <alignment horizontal="center"/>
    </xf>
    <xf numFmtId="0" fontId="3" fillId="0" borderId="16" xfId="0" applyFont="1" applyBorder="1" applyAlignment="1">
      <alignment horizontal="center"/>
    </xf>
    <xf numFmtId="0" fontId="0" fillId="4" borderId="17" xfId="0" applyFill="1" applyBorder="1" applyAlignment="1">
      <alignment horizontal="center"/>
    </xf>
    <xf numFmtId="0" fontId="0" fillId="4" borderId="16" xfId="0" applyFill="1" applyBorder="1" applyAlignment="1">
      <alignment horizontal="center"/>
    </xf>
  </cellXfs>
  <cellStyles count="5">
    <cellStyle name="Comma" xfId="3" builtinId="3"/>
    <cellStyle name="Currency" xfId="1" builtinId="4"/>
    <cellStyle name="Normal" xfId="0" builtinId="0"/>
    <cellStyle name="Normal 2" xfId="2"/>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239305</xdr:colOff>
      <xdr:row>21</xdr:row>
      <xdr:rowOff>28575</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xmlns=""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14:m>
                <m:oMath xmlns:m="http://schemas.openxmlformats.org/officeDocument/2006/math">
                  <m:r>
                    <a:rPr lang="pt-BR" sz="4400" i="1">
                      <a:latin typeface="Cambria Math" panose="02040503050406030204" pitchFamily="18" charset="0"/>
                    </a:rPr>
                    <m:t>=</m:t>
                  </m:r>
                  <m:f>
                    <m:fPr>
                      <m:ctrlPr>
                        <a:rPr lang="pt-BR" sz="4400" i="1">
                          <a:latin typeface="Cambria Math" panose="02040503050406030204" pitchFamily="18" charset="0"/>
                        </a:rPr>
                      </m:ctrlPr>
                    </m:fPr>
                    <m:num>
                      <m:r>
                        <a:rPr lang="en-US" sz="4400" b="0" i="1">
                          <a:latin typeface="Cambria Math" panose="02040503050406030204" pitchFamily="18" charset="0"/>
                        </a:rPr>
                        <m:t>1</m:t>
                      </m:r>
                    </m:num>
                    <m:den>
                      <m:r>
                        <a:rPr lang="en-US" sz="4400" b="0" i="1">
                          <a:latin typeface="Cambria Math" panose="02040503050406030204" pitchFamily="18" charset="0"/>
                        </a:rPr>
                        <m:t>𝑃</m:t>
                      </m:r>
                    </m:den>
                  </m:f>
                  <m:nary>
                    <m:naryPr>
                      <m:chr m:val="∑"/>
                      <m:ctrlPr>
                        <a:rPr lang="pt-BR" sz="4400" i="1">
                          <a:latin typeface="Cambria Math" panose="02040503050406030204" pitchFamily="18" charset="0"/>
                        </a:rPr>
                      </m:ctrlPr>
                    </m:naryPr>
                    <m:sub>
                      <m:r>
                        <m:rPr>
                          <m:brk m:alnAt="23"/>
                        </m:rPr>
                        <a:rPr lang="en-US" sz="4400" b="0" i="1">
                          <a:latin typeface="Cambria Math" panose="02040503050406030204" pitchFamily="18" charset="0"/>
                        </a:rPr>
                        <m:t>𝑡</m:t>
                      </m:r>
                      <m:r>
                        <a:rPr lang="pt-BR" sz="4400" i="1">
                          <a:latin typeface="Cambria Math" panose="02040503050406030204" pitchFamily="18" charset="0"/>
                        </a:rPr>
                        <m:t>=1</m:t>
                      </m:r>
                    </m:sub>
                    <m:sup>
                      <m:r>
                        <a:rPr lang="en-US" sz="4400" b="0" i="1">
                          <a:latin typeface="Cambria Math" panose="02040503050406030204" pitchFamily="18" charset="0"/>
                        </a:rPr>
                        <m:t>𝑁</m:t>
                      </m:r>
                    </m:sup>
                    <m:e>
                      <m:box>
                        <m:boxPr>
                          <m:ctrlPr>
                            <a:rPr lang="pt-BR" sz="4400" i="1">
                              <a:latin typeface="Cambria Math" panose="02040503050406030204" pitchFamily="18" charset="0"/>
                            </a:rPr>
                          </m:ctrlPr>
                        </m:boxPr>
                        <m:e>
                          <m:argPr>
                            <m:argSz m:val="-1"/>
                          </m:argPr>
                          <m:f>
                            <m:fPr>
                              <m:ctrlPr>
                                <a:rPr lang="pt-BR" sz="4400" i="1">
                                  <a:latin typeface="Cambria Math" panose="02040503050406030204" pitchFamily="18" charset="0"/>
                                </a:rPr>
                              </m:ctrlPr>
                            </m:fPr>
                            <m:num>
                              <m:r>
                                <a:rPr lang="en-US" sz="4400" b="0" i="1">
                                  <a:latin typeface="Cambria Math" panose="02040503050406030204" pitchFamily="18" charset="0"/>
                                </a:rPr>
                                <m:t>𝑡𝐶</m:t>
                              </m:r>
                              <m:r>
                                <a:rPr lang="en-US" sz="4400" b="0" i="1" baseline="-25000">
                                  <a:latin typeface="Cambria Math" panose="02040503050406030204" pitchFamily="18" charset="0"/>
                                </a:rPr>
                                <m:t>𝑡</m:t>
                              </m:r>
                              <m:r>
                                <a:rPr lang="en-US" sz="4400" b="0" i="1" baseline="-25000">
                                  <a:latin typeface="Cambria Math" panose="02040503050406030204" pitchFamily="18" charset="0"/>
                                </a:rPr>
                                <m:t> .</m:t>
                              </m:r>
                            </m:num>
                            <m:den>
                              <m:d>
                                <m:dPr>
                                  <m:ctrlPr>
                                    <a:rPr lang="en-US" sz="4400" b="0" i="1">
                                      <a:latin typeface="Cambria Math" panose="02040503050406030204" pitchFamily="18" charset="0"/>
                                    </a:rPr>
                                  </m:ctrlPr>
                                </m:dPr>
                                <m:e>
                                  <m:r>
                                    <a:rPr lang="en-US" sz="4400" b="0" i="1">
                                      <a:latin typeface="Cambria Math" panose="02040503050406030204" pitchFamily="18" charset="0"/>
                                    </a:rPr>
                                    <m:t>1+</m:t>
                                  </m:r>
                                  <m:r>
                                    <a:rPr lang="en-US" sz="4400" b="0" i="1">
                                      <a:latin typeface="Cambria Math" panose="02040503050406030204" pitchFamily="18" charset="0"/>
                                    </a:rPr>
                                    <m:t>𝑖</m:t>
                                  </m:r>
                                </m:e>
                              </m:d>
                              <m:r>
                                <a:rPr lang="en-US" sz="4400" b="0" i="1" baseline="30000">
                                  <a:latin typeface="Cambria Math" panose="02040503050406030204" pitchFamily="18" charset="0"/>
                                </a:rPr>
                                <m:t>𝑡</m:t>
                              </m:r>
                            </m:den>
                          </m:f>
                        </m:e>
                      </m:box>
                    </m:e>
                  </m:nary>
                </m:oMath>
              </a14:m>
              <a:endParaRPr lang="en-US" sz="4400"/>
            </a:p>
            <a:p>
              <a:pPr marL="0" indent="0">
                <a:buNone/>
              </a:pPr>
              <a:r>
                <a:rPr lang="en-US" sz="3200"/>
                <a:t>				</a:t>
              </a:r>
            </a:p>
            <a:p>
              <a:pPr marL="0" indent="0">
                <a:buNone/>
              </a:pPr>
              <a:r>
                <a:rPr lang="en-US" sz="3200"/>
                <a:t>			P = Price of bond =</a:t>
              </a:r>
              <a:r>
                <a:rPr lang="pt-BR" sz="3200"/>
                <a:t> </a:t>
              </a:r>
              <a14:m>
                <m:oMath xmlns:m="http://schemas.openxmlformats.org/officeDocument/2006/math">
                  <m:nary>
                    <m:naryPr>
                      <m:chr m:val="∑"/>
                      <m:ctrlPr>
                        <a:rPr lang="pt-BR" sz="3200" i="1">
                          <a:latin typeface="Cambria Math" panose="02040503050406030204" pitchFamily="18" charset="0"/>
                        </a:rPr>
                      </m:ctrlPr>
                    </m:naryPr>
                    <m:sub>
                      <m:r>
                        <m:rPr>
                          <m:brk m:alnAt="23"/>
                        </m:rPr>
                        <a:rPr lang="en-US" sz="3200" i="1">
                          <a:latin typeface="Cambria Math" panose="02040503050406030204" pitchFamily="18" charset="0"/>
                        </a:rPr>
                        <m:t>𝑡</m:t>
                      </m:r>
                      <m:r>
                        <a:rPr lang="pt-BR" sz="3200" i="1">
                          <a:latin typeface="Cambria Math" panose="02040503050406030204" pitchFamily="18" charset="0"/>
                        </a:rPr>
                        <m:t>=1</m:t>
                      </m:r>
                    </m:sub>
                    <m:sup>
                      <m:r>
                        <a:rPr lang="en-US" sz="3200" i="1">
                          <a:latin typeface="Cambria Math" panose="02040503050406030204" pitchFamily="18" charset="0"/>
                        </a:rPr>
                        <m:t>𝑁</m:t>
                      </m:r>
                    </m:sup>
                    <m:e>
                      <m:box>
                        <m:boxPr>
                          <m:ctrlPr>
                            <a:rPr lang="pt-BR" sz="3200" i="1">
                              <a:latin typeface="Cambria Math" panose="02040503050406030204" pitchFamily="18" charset="0"/>
                            </a:rPr>
                          </m:ctrlPr>
                        </m:boxPr>
                        <m:e>
                          <m:argPr>
                            <m:argSz m:val="-1"/>
                          </m:argPr>
                          <m:f>
                            <m:fPr>
                              <m:ctrlPr>
                                <a:rPr lang="pt-BR" sz="3200" i="1">
                                  <a:latin typeface="Cambria Math" panose="02040503050406030204" pitchFamily="18" charset="0"/>
                                </a:rPr>
                              </m:ctrlPr>
                            </m:fPr>
                            <m:num>
                              <m:r>
                                <a:rPr lang="en-US" sz="3200" i="1">
                                  <a:latin typeface="Cambria Math" panose="02040503050406030204" pitchFamily="18" charset="0"/>
                                </a:rPr>
                                <m:t>𝐶</m:t>
                              </m:r>
                              <m:r>
                                <a:rPr lang="en-US" sz="3200" i="1" baseline="-25000">
                                  <a:latin typeface="Cambria Math" panose="02040503050406030204" pitchFamily="18" charset="0"/>
                                </a:rPr>
                                <m:t>𝑡</m:t>
                              </m:r>
                              <m:r>
                                <a:rPr lang="en-US" sz="3200" i="1" baseline="-25000">
                                  <a:latin typeface="Cambria Math" panose="02040503050406030204" pitchFamily="18" charset="0"/>
                                </a:rPr>
                                <m:t> .</m:t>
                              </m:r>
                            </m:num>
                            <m:den>
                              <m:d>
                                <m:dPr>
                                  <m:ctrlPr>
                                    <a:rPr lang="en-US" sz="3200" i="1">
                                      <a:latin typeface="Cambria Math" panose="02040503050406030204" pitchFamily="18" charset="0"/>
                                    </a:rPr>
                                  </m:ctrlPr>
                                </m:dPr>
                                <m:e>
                                  <m:r>
                                    <a:rPr lang="en-US" sz="3200" i="1">
                                      <a:latin typeface="Cambria Math" panose="02040503050406030204" pitchFamily="18" charset="0"/>
                                    </a:rPr>
                                    <m:t>1+</m:t>
                                  </m:r>
                                  <m:r>
                                    <a:rPr lang="en-US" sz="3200" b="0" i="1">
                                      <a:latin typeface="Cambria Math" panose="02040503050406030204" pitchFamily="18" charset="0"/>
                                    </a:rPr>
                                    <m:t>𝑖</m:t>
                                  </m:r>
                                </m:e>
                              </m:d>
                              <m:r>
                                <a:rPr lang="en-US" sz="3200" i="1" baseline="30000">
                                  <a:latin typeface="Cambria Math" panose="02040503050406030204" pitchFamily="18" charset="0"/>
                                </a:rPr>
                                <m:t>𝑡</m:t>
                              </m:r>
                            </m:den>
                          </m:f>
                        </m:e>
                      </m:box>
                    </m:e>
                  </m:nary>
                </m:oMath>
              </a14:m>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Choice>
      <mc:Fallback xmlns="">
        <xdr:sp macro="" textlink="">
          <xdr:nvSpPr>
            <xdr:cNvPr id="2" name="Content Placeholder 5">
              <a:extLst>
                <a:ext uri="{FF2B5EF4-FFF2-40B4-BE49-F238E27FC236}">
                  <a16:creationId xmlns:a16="http://schemas.microsoft.com/office/drawing/2014/main" id="{A105FB84-23F8-C747-83A6-531C667F422B}"/>
                </a:ext>
              </a:extLst>
            </xdr:cNvPr>
            <xdr:cNvSpPr>
              <a:spLocks noGrp="1"/>
            </xdr:cNvSpPr>
          </xdr:nvSpPr>
          <xdr:spPr>
            <a:xfrm>
              <a:off x="0" y="0"/>
              <a:ext cx="11682005" cy="4029075"/>
            </a:xfrm>
            <a:prstGeom prst="rect">
              <a:avLst/>
            </a:prstGeom>
          </xdr:spPr>
          <xdr:txBody>
            <a:bodyPr vert="horz" wrap="square" lIns="91440" tIns="45720" rIns="91440" bIns="45720" rtlCol="0">
              <a:normAutofit lnSpcReduction="10000"/>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endParaRPr lang="pt-BR" sz="4400"/>
            </a:p>
            <a:p>
              <a:pPr marL="0" indent="0" algn="ctr">
                <a:buNone/>
              </a:pPr>
              <a:r>
                <a:rPr lang="pt-BR" sz="4400"/>
                <a:t>Duration</a:t>
              </a:r>
              <a:r>
                <a:rPr lang="pt-BR" sz="4400" i="0">
                  <a:latin typeface="Cambria Math" panose="02040503050406030204" pitchFamily="18" charset="0"/>
                </a:rPr>
                <a:t>=</a:t>
              </a:r>
              <a:r>
                <a:rPr lang="en-US" sz="4400" b="0" i="0">
                  <a:latin typeface="Cambria Math" panose="02040503050406030204" pitchFamily="18" charset="0"/>
                </a:rPr>
                <a:t>1</a:t>
              </a:r>
              <a:r>
                <a:rPr lang="pt-BR" sz="4400" b="0" i="0">
                  <a:latin typeface="Cambria Math" panose="02040503050406030204" pitchFamily="18" charset="0"/>
                </a:rPr>
                <a:t>/</a:t>
              </a:r>
              <a:r>
                <a:rPr lang="en-US" sz="4400" b="0" i="0">
                  <a:latin typeface="Cambria Math" panose="02040503050406030204" pitchFamily="18" charset="0"/>
                </a:rPr>
                <a:t>𝑃</a:t>
              </a:r>
              <a:r>
                <a:rPr lang="pt-BR" sz="4400" b="0" i="0">
                  <a:latin typeface="Cambria Math" panose="02040503050406030204" pitchFamily="18" charset="0"/>
                </a:rPr>
                <a:t> </a:t>
              </a:r>
              <a:r>
                <a:rPr lang="pt-BR" sz="4400" i="0">
                  <a:latin typeface="Cambria Math" panose="02040503050406030204" pitchFamily="18" charset="0"/>
                </a:rPr>
                <a:t>∑_(</a:t>
              </a:r>
              <a:r>
                <a:rPr lang="en-US" sz="4400" b="0" i="0">
                  <a:latin typeface="Cambria Math" panose="02040503050406030204" pitchFamily="18" charset="0"/>
                </a:rPr>
                <a:t>𝑡</a:t>
              </a:r>
              <a:r>
                <a:rPr lang="pt-BR" sz="4400" i="0">
                  <a:latin typeface="Cambria Math" panose="02040503050406030204" pitchFamily="18" charset="0"/>
                </a:rPr>
                <a:t>=1)</a:t>
              </a:r>
              <a:r>
                <a:rPr lang="en-US" sz="4400" b="0" i="0">
                  <a:latin typeface="Cambria Math" panose="02040503050406030204" pitchFamily="18" charset="0"/>
                </a:rPr>
                <a:t>^𝑁</a:t>
              </a:r>
              <a:r>
                <a:rPr lang="en-US" sz="4400" b="0" i="0" baseline="30000">
                  <a:latin typeface="Cambria Math" panose="02040503050406030204" pitchFamily="18" charset="0"/>
                </a:rPr>
                <a:t>▒</a:t>
              </a:r>
              <a:r>
                <a:rPr lang="pt-BR" sz="4400" b="0" i="0" baseline="30000">
                  <a:latin typeface="Cambria Math" panose="02040503050406030204" pitchFamily="18" charset="0"/>
                </a:rPr>
                <a:t>□(64&amp;(</a:t>
              </a:r>
              <a:r>
                <a:rPr lang="en-US" sz="4400" b="0" i="0">
                  <a:latin typeface="Cambria Math" panose="02040503050406030204" pitchFamily="18" charset="0"/>
                </a:rPr>
                <a:t>𝑡𝐶</a:t>
              </a:r>
              <a:r>
                <a:rPr lang="en-US" sz="4400" b="0" i="0" baseline="-25000">
                  <a:latin typeface="Cambria Math" panose="02040503050406030204" pitchFamily="18" charset="0"/>
                </a:rPr>
                <a:t>𝑡 .</a:t>
              </a:r>
              <a:r>
                <a:rPr lang="pt-BR" sz="4400" b="0" i="0" baseline="-25000">
                  <a:latin typeface="Cambria Math" panose="02040503050406030204" pitchFamily="18" charset="0"/>
                </a:rPr>
                <a:t>)/</a:t>
              </a:r>
              <a:r>
                <a:rPr lang="en-US" sz="4400" b="0" i="0" baseline="-25000">
                  <a:latin typeface="Cambria Math" panose="02040503050406030204" pitchFamily="18" charset="0"/>
                </a:rPr>
                <a:t>(</a:t>
              </a:r>
              <a:r>
                <a:rPr lang="en-US" sz="4400" b="0" i="0">
                  <a:latin typeface="Cambria Math" panose="02040503050406030204" pitchFamily="18" charset="0"/>
                </a:rPr>
                <a:t>1+𝑖)</a:t>
              </a:r>
              <a:r>
                <a:rPr lang="en-US" sz="4400" b="0" i="0" baseline="30000">
                  <a:latin typeface="Cambria Math" panose="02040503050406030204" pitchFamily="18" charset="0"/>
                </a:rPr>
                <a:t>𝑡)</a:t>
              </a:r>
              <a:endParaRPr lang="en-US" sz="4400"/>
            </a:p>
            <a:p>
              <a:pPr marL="0" indent="0">
                <a:buNone/>
              </a:pPr>
              <a:r>
                <a:rPr lang="en-US" sz="3200"/>
                <a:t>				</a:t>
              </a:r>
            </a:p>
            <a:p>
              <a:pPr marL="0" indent="0">
                <a:buNone/>
              </a:pPr>
              <a:r>
                <a:rPr lang="en-US" sz="3200"/>
                <a:t>			P = Price of bond =</a:t>
              </a:r>
              <a:r>
                <a:rPr lang="pt-BR" sz="3200"/>
                <a:t> </a:t>
              </a:r>
              <a:r>
                <a:rPr lang="pt-BR" sz="3200" i="0">
                  <a:latin typeface="Cambria Math" panose="02040503050406030204" pitchFamily="18" charset="0"/>
                </a:rPr>
                <a:t>∑_(</a:t>
              </a:r>
              <a:r>
                <a:rPr lang="en-US" sz="3200" i="0">
                  <a:latin typeface="Cambria Math" panose="02040503050406030204" pitchFamily="18" charset="0"/>
                </a:rPr>
                <a:t>𝑡</a:t>
              </a:r>
              <a:r>
                <a:rPr lang="pt-BR" sz="3200" i="0">
                  <a:latin typeface="Cambria Math" panose="02040503050406030204" pitchFamily="18" charset="0"/>
                </a:rPr>
                <a:t>=1)</a:t>
              </a:r>
              <a:r>
                <a:rPr lang="en-US" sz="3200" i="0">
                  <a:latin typeface="Cambria Math" panose="02040503050406030204" pitchFamily="18" charset="0"/>
                </a:rPr>
                <a:t>^𝑁</a:t>
              </a:r>
              <a:r>
                <a:rPr lang="en-US" sz="3200" i="0" baseline="30000">
                  <a:latin typeface="Cambria Math" panose="02040503050406030204" pitchFamily="18" charset="0"/>
                </a:rPr>
                <a:t>▒</a:t>
              </a:r>
              <a:r>
                <a:rPr lang="pt-BR" sz="3200" i="0" baseline="30000">
                  <a:latin typeface="Cambria Math" panose="02040503050406030204" pitchFamily="18" charset="0"/>
                </a:rPr>
                <a:t>□(64&amp;(</a:t>
              </a:r>
              <a:r>
                <a:rPr lang="en-US" sz="3200" i="0">
                  <a:latin typeface="Cambria Math" panose="02040503050406030204" pitchFamily="18" charset="0"/>
                </a:rPr>
                <a:t>𝐶</a:t>
              </a:r>
              <a:r>
                <a:rPr lang="en-US" sz="3200" i="0" baseline="-25000">
                  <a:latin typeface="Cambria Math" panose="02040503050406030204" pitchFamily="18" charset="0"/>
                </a:rPr>
                <a:t>𝑡 .</a:t>
              </a:r>
              <a:r>
                <a:rPr lang="pt-BR" sz="3200" i="0" baseline="-25000">
                  <a:latin typeface="Cambria Math" panose="02040503050406030204" pitchFamily="18" charset="0"/>
                </a:rPr>
                <a:t>)/</a:t>
              </a:r>
              <a:r>
                <a:rPr lang="en-US" sz="3200" i="0" baseline="-25000">
                  <a:latin typeface="Cambria Math" panose="02040503050406030204" pitchFamily="18" charset="0"/>
                </a:rPr>
                <a:t>(</a:t>
              </a:r>
              <a:r>
                <a:rPr lang="en-US" sz="3200" i="0">
                  <a:latin typeface="Cambria Math" panose="02040503050406030204" pitchFamily="18" charset="0"/>
                </a:rPr>
                <a:t>1+</a:t>
              </a:r>
              <a:r>
                <a:rPr lang="en-US" sz="3200" b="0" i="0">
                  <a:latin typeface="Cambria Math" panose="02040503050406030204" pitchFamily="18" charset="0"/>
                </a:rPr>
                <a:t>𝑖)</a:t>
              </a:r>
              <a:r>
                <a:rPr lang="en-US" sz="3200" i="0" baseline="30000">
                  <a:latin typeface="Cambria Math" panose="02040503050406030204" pitchFamily="18" charset="0"/>
                </a:rPr>
                <a:t>𝑡)</a:t>
              </a:r>
              <a:r>
                <a:rPr lang="en-US" sz="6000"/>
                <a:t> </a:t>
              </a:r>
            </a:p>
            <a:p>
              <a:pPr marL="0" indent="0">
                <a:buNone/>
              </a:pPr>
              <a:r>
                <a:rPr lang="en-US" sz="3200"/>
                <a:t>			i = bond’s yield</a:t>
              </a:r>
            </a:p>
            <a:p>
              <a:pPr marL="0" indent="0">
                <a:buNone/>
              </a:pPr>
              <a:r>
                <a:rPr lang="en-US" sz="3200"/>
                <a:t>			C</a:t>
              </a:r>
              <a:r>
                <a:rPr lang="en-US" sz="3200" baseline="-25000"/>
                <a:t>t</a:t>
              </a:r>
              <a:r>
                <a:rPr lang="en-US" sz="3200"/>
                <a:t> = bond’s payment at time 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17</xdr:col>
      <xdr:colOff>239305</xdr:colOff>
      <xdr:row>23</xdr:row>
      <xdr:rowOff>15324</xdr:rowOff>
    </xdr:to>
    <mc:AlternateContent xmlns:mc="http://schemas.openxmlformats.org/markup-compatibility/2006" xmlns:a14="http://schemas.microsoft.com/office/drawing/2010/main">
      <mc:Choice Requires="a14">
        <xdr:sp macro="" textlink="">
          <xdr:nvSpPr>
            <xdr:cNvPr id="2" name="Content Placeholder 5">
              <a:extLst>
                <a:ext uri="{FF2B5EF4-FFF2-40B4-BE49-F238E27FC236}">
                  <a16:creationId xmlns:a16="http://schemas.microsoft.com/office/drawing/2014/main" xmlns=""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14:m>
                <m:oMath xmlns:m="http://schemas.openxmlformats.org/officeDocument/2006/math">
                  <m:r>
                    <a:rPr lang="pt-BR" sz="4000" i="1">
                      <a:latin typeface="Cambria Math" panose="02040503050406030204" pitchFamily="18" charset="0"/>
                    </a:rPr>
                    <m:t>=</m:t>
                  </m:r>
                  <m:f>
                    <m:fPr>
                      <m:ctrlPr>
                        <a:rPr lang="pt-BR" sz="4000" i="1">
                          <a:latin typeface="Cambria Math" panose="02040503050406030204" pitchFamily="18" charset="0"/>
                        </a:rPr>
                      </m:ctrlPr>
                    </m:fPr>
                    <m:num>
                      <m:r>
                        <a:rPr lang="en-US" sz="4000" b="0" i="1">
                          <a:latin typeface="Cambria Math" panose="02040503050406030204" pitchFamily="18" charset="0"/>
                        </a:rPr>
                        <m:t>1</m:t>
                      </m:r>
                    </m:num>
                    <m:den>
                      <m:r>
                        <a:rPr lang="en-US" sz="4000" b="0" i="1">
                          <a:latin typeface="Cambria Math" panose="02040503050406030204" pitchFamily="18" charset="0"/>
                        </a:rPr>
                        <m:t>𝑃</m:t>
                      </m:r>
                    </m:den>
                  </m:f>
                  <m:nary>
                    <m:naryPr>
                      <m:chr m:val="∑"/>
                      <m:ctrlPr>
                        <a:rPr lang="pt-BR" sz="4000" i="1">
                          <a:latin typeface="Cambria Math" panose="02040503050406030204" pitchFamily="18" charset="0"/>
                        </a:rPr>
                      </m:ctrlPr>
                    </m:naryPr>
                    <m:sub>
                      <m:r>
                        <m:rPr>
                          <m:brk m:alnAt="23"/>
                        </m:rPr>
                        <a:rPr lang="en-US" sz="4000" b="0" i="1">
                          <a:latin typeface="Cambria Math" panose="02040503050406030204" pitchFamily="18" charset="0"/>
                        </a:rPr>
                        <m:t>𝑡</m:t>
                      </m:r>
                      <m:r>
                        <a:rPr lang="pt-BR" sz="4000" i="1">
                          <a:latin typeface="Cambria Math" panose="02040503050406030204" pitchFamily="18" charset="0"/>
                        </a:rPr>
                        <m:t>=1</m:t>
                      </m:r>
                    </m:sub>
                    <m:sup>
                      <m:r>
                        <a:rPr lang="en-US" sz="4000" b="0" i="1">
                          <a:latin typeface="Cambria Math" panose="02040503050406030204" pitchFamily="18" charset="0"/>
                        </a:rPr>
                        <m:t>𝑁</m:t>
                      </m:r>
                    </m:sup>
                    <m:e>
                      <m:box>
                        <m:boxPr>
                          <m:ctrlPr>
                            <a:rPr lang="pt-BR" sz="4000" i="1">
                              <a:latin typeface="Cambria Math" panose="02040503050406030204" pitchFamily="18" charset="0"/>
                            </a:rPr>
                          </m:ctrlPr>
                        </m:boxPr>
                        <m:e>
                          <m:argPr>
                            <m:argSz m:val="-1"/>
                          </m:argPr>
                          <m:f>
                            <m:fPr>
                              <m:ctrlPr>
                                <a:rPr lang="pt-BR" sz="4000" i="1">
                                  <a:latin typeface="Cambria Math" panose="02040503050406030204" pitchFamily="18" charset="0"/>
                                </a:rPr>
                              </m:ctrlPr>
                            </m:fPr>
                            <m:num>
                              <m:r>
                                <a:rPr lang="en-US" sz="4000" b="0" i="1">
                                  <a:latin typeface="Cambria Math" panose="02040503050406030204" pitchFamily="18" charset="0"/>
                                </a:rPr>
                                <m:t>𝐶</m:t>
                              </m:r>
                              <m:r>
                                <a:rPr lang="en-US" sz="4000" b="0" i="1" baseline="-25000">
                                  <a:latin typeface="Cambria Math" panose="02040503050406030204" pitchFamily="18" charset="0"/>
                                </a:rPr>
                                <m:t>𝑡</m:t>
                              </m:r>
                            </m:num>
                            <m:den>
                              <m:d>
                                <m:dPr>
                                  <m:ctrlPr>
                                    <a:rPr lang="en-US" sz="4000" b="0" i="1">
                                      <a:latin typeface="Cambria Math" panose="02040503050406030204" pitchFamily="18" charset="0"/>
                                    </a:rPr>
                                  </m:ctrlPr>
                                </m:dPr>
                                <m:e>
                                  <m:r>
                                    <a:rPr lang="en-US" sz="4000" b="0" i="1">
                                      <a:latin typeface="Cambria Math" panose="02040503050406030204" pitchFamily="18" charset="0"/>
                                    </a:rPr>
                                    <m:t>1+</m:t>
                                  </m:r>
                                  <m:r>
                                    <a:rPr lang="en-US" sz="4000" b="0" i="1">
                                      <a:latin typeface="Cambria Math" panose="02040503050406030204" pitchFamily="18" charset="0"/>
                                    </a:rPr>
                                    <m:t>𝑖</m:t>
                                  </m:r>
                                </m:e>
                              </m:d>
                              <m:r>
                                <a:rPr lang="en-US" sz="4000" b="0" i="1" baseline="30000">
                                  <a:latin typeface="Cambria Math" panose="02040503050406030204" pitchFamily="18" charset="0"/>
                                </a:rPr>
                                <m:t>𝑡</m:t>
                              </m:r>
                            </m:den>
                          </m:f>
                        </m:e>
                      </m:box>
                    </m:e>
                  </m:nary>
                </m:oMath>
              </a14:m>
              <a:r>
                <a:rPr lang="en-US" sz="4000"/>
                <a:t> x </a:t>
              </a:r>
              <a14:m>
                <m:oMath xmlns:m="http://schemas.openxmlformats.org/officeDocument/2006/math">
                  <m:f>
                    <m:fPr>
                      <m:ctrlPr>
                        <a:rPr lang="pt-BR" sz="2800" i="1" kern="1200">
                          <a:solidFill>
                            <a:schemeClr val="tx1"/>
                          </a:solidFill>
                          <a:effectLst/>
                          <a:latin typeface="Cambria Math" panose="02040503050406030204" pitchFamily="18" charset="0"/>
                          <a:ea typeface="+mn-ea"/>
                          <a:cs typeface="+mn-cs"/>
                        </a:rPr>
                      </m:ctrlPr>
                    </m:fPr>
                    <m:num>
                      <m:r>
                        <a:rPr lang="en-US" sz="2800" b="0" i="1" kern="1200">
                          <a:solidFill>
                            <a:schemeClr val="tx1"/>
                          </a:solidFill>
                          <a:effectLst/>
                          <a:latin typeface="Cambria Math" panose="02040503050406030204" pitchFamily="18" charset="0"/>
                          <a:ea typeface="+mn-ea"/>
                          <a:cs typeface="+mn-cs"/>
                        </a:rPr>
                        <m:t>1</m:t>
                      </m:r>
                    </m:num>
                    <m:den>
                      <m:d>
                        <m:dPr>
                          <m:ctrlPr>
                            <a:rPr lang="en-US" sz="2800" b="0" i="1" kern="1200">
                              <a:solidFill>
                                <a:schemeClr val="tx1"/>
                              </a:solidFill>
                              <a:effectLst/>
                              <a:latin typeface="Cambria Math" panose="02040503050406030204" pitchFamily="18" charset="0"/>
                              <a:ea typeface="+mn-ea"/>
                              <a:cs typeface="+mn-cs"/>
                            </a:rPr>
                          </m:ctrlPr>
                        </m:dPr>
                        <m:e>
                          <m:r>
                            <a:rPr lang="en-US" sz="2800" b="0" i="1" kern="1200">
                              <a:solidFill>
                                <a:schemeClr val="tx1"/>
                              </a:solidFill>
                              <a:effectLst/>
                              <a:latin typeface="Cambria Math" panose="02040503050406030204" pitchFamily="18" charset="0"/>
                              <a:ea typeface="+mn-ea"/>
                              <a:cs typeface="+mn-cs"/>
                            </a:rPr>
                            <m:t>1+</m:t>
                          </m:r>
                          <m:r>
                            <a:rPr lang="en-US" sz="2800" b="0" i="1" kern="1200">
                              <a:solidFill>
                                <a:schemeClr val="tx1"/>
                              </a:solidFill>
                              <a:effectLst/>
                              <a:latin typeface="Cambria Math" panose="02040503050406030204" pitchFamily="18" charset="0"/>
                              <a:ea typeface="+mn-ea"/>
                              <a:cs typeface="+mn-cs"/>
                            </a:rPr>
                            <m:t>𝑖</m:t>
                          </m:r>
                        </m:e>
                      </m:d>
                      <m:r>
                        <a:rPr lang="en-US" sz="2800" b="0" i="1" kern="1200" baseline="30000">
                          <a:solidFill>
                            <a:schemeClr val="tx1"/>
                          </a:solidFill>
                          <a:effectLst/>
                          <a:latin typeface="Cambria Math" panose="02040503050406030204" pitchFamily="18" charset="0"/>
                          <a:ea typeface="+mn-ea"/>
                          <a:cs typeface="+mn-cs"/>
                        </a:rPr>
                        <m:t>2</m:t>
                      </m:r>
                    </m:den>
                  </m:f>
                </m:oMath>
              </a14:m>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Choice>
      <mc:Fallback xmlns="">
        <xdr:sp macro="" textlink="">
          <xdr:nvSpPr>
            <xdr:cNvPr id="2" name="Content Placeholder 5">
              <a:extLst>
                <a:ext uri="{FF2B5EF4-FFF2-40B4-BE49-F238E27FC236}">
                  <a16:creationId xmlns:a16="http://schemas.microsoft.com/office/drawing/2014/main" id="{04C99488-36FA-EE45-A359-DED6B691C84D}"/>
                </a:ext>
              </a:extLst>
            </xdr:cNvPr>
            <xdr:cNvSpPr>
              <a:spLocks noGrp="1"/>
            </xdr:cNvSpPr>
          </xdr:nvSpPr>
          <xdr:spPr>
            <a:xfrm>
              <a:off x="0" y="9525"/>
              <a:ext cx="11682005" cy="4387299"/>
            </a:xfrm>
            <a:prstGeom prst="rect">
              <a:avLst/>
            </a:prstGeom>
          </xdr:spPr>
          <xdr:txBody>
            <a:bodyPr vert="horz" wrap="square" lIns="91440" tIns="45720" rIns="91440" bIns="45720" rtlCol="0">
              <a:normAutofit/>
            </a:bodyPr>
            <a:lstStyle>
              <a:lvl1pPr marL="228600" indent="-228600" algn="l" defTabSz="914400" rtl="0" eaLnBrk="1" latinLnBrk="0" hangingPunct="1">
                <a:lnSpc>
                  <a:spcPct val="90000"/>
                </a:lnSpc>
                <a:spcBef>
                  <a:spcPts val="1000"/>
                </a:spcBef>
                <a:buFont typeface="Wingdings" panose="05000000000000000000" pitchFamily="2" charset="2"/>
                <a:buChar char="v"/>
                <a:defRPr sz="2800" kern="1200">
                  <a:solidFill>
                    <a:schemeClr val="tx1"/>
                  </a:solidFill>
                  <a:latin typeface="+mn-lt"/>
                  <a:ea typeface="+mn-ea"/>
                  <a:cs typeface="+mn-cs"/>
                </a:defRPr>
              </a:lvl1pPr>
              <a:lvl2pPr marL="685800" indent="-228600" algn="l" defTabSz="914400" rtl="0" eaLnBrk="1" latinLnBrk="0" hangingPunct="1">
                <a:lnSpc>
                  <a:spcPct val="90000"/>
                </a:lnSpc>
                <a:spcBef>
                  <a:spcPts val="500"/>
                </a:spcBef>
                <a:buFont typeface="Wingdings" panose="05000000000000000000" pitchFamily="2" charset="2"/>
                <a:buChar char="Ø"/>
                <a:defRPr sz="2400" kern="1200">
                  <a:solidFill>
                    <a:schemeClr val="tx1"/>
                  </a:solidFill>
                  <a:latin typeface="+mn-lt"/>
                  <a:ea typeface="+mn-ea"/>
                  <a:cs typeface="+mn-cs"/>
                </a:defRPr>
              </a:lvl2pPr>
              <a:lvl3pPr marL="1143000" indent="-228600" algn="l" defTabSz="914400" rtl="0" eaLnBrk="1" latinLnBrk="0" hangingPunct="1">
                <a:lnSpc>
                  <a:spcPct val="90000"/>
                </a:lnSpc>
                <a:spcBef>
                  <a:spcPts val="500"/>
                </a:spcBef>
                <a:buFont typeface="Wingdings" panose="05000000000000000000" pitchFamily="2" charset="2"/>
                <a:buChar char="q"/>
                <a:defRPr sz="2000" kern="1200">
                  <a:solidFill>
                    <a:schemeClr val="tx1"/>
                  </a:solidFill>
                  <a:latin typeface="+mn-lt"/>
                  <a:ea typeface="+mn-ea"/>
                  <a:cs typeface="+mn-cs"/>
                </a:defRPr>
              </a:lvl3pPr>
              <a:lvl4pPr marL="1600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4pPr>
              <a:lvl5pPr marL="20574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algn="ctr">
                <a:buNone/>
              </a:pPr>
              <a:r>
                <a:rPr lang="pt-BR" sz="4000"/>
                <a:t>Convexity</a:t>
              </a:r>
              <a:r>
                <a:rPr lang="pt-BR" sz="4000" i="0">
                  <a:latin typeface="Cambria Math" panose="02040503050406030204" pitchFamily="18" charset="0"/>
                </a:rPr>
                <a:t>=</a:t>
              </a:r>
              <a:r>
                <a:rPr lang="en-US" sz="4000" b="0" i="0">
                  <a:latin typeface="Cambria Math" panose="02040503050406030204" pitchFamily="18" charset="0"/>
                </a:rPr>
                <a:t>1</a:t>
              </a:r>
              <a:r>
                <a:rPr lang="pt-BR" sz="4000" b="0" i="0">
                  <a:latin typeface="Cambria Math" panose="02040503050406030204" pitchFamily="18" charset="0"/>
                </a:rPr>
                <a:t>/</a:t>
              </a:r>
              <a:r>
                <a:rPr lang="en-US" sz="4000" b="0" i="0">
                  <a:latin typeface="Cambria Math" panose="02040503050406030204" pitchFamily="18" charset="0"/>
                </a:rPr>
                <a:t>𝑃</a:t>
              </a:r>
              <a:r>
                <a:rPr lang="pt-BR" sz="4000" b="0" i="0">
                  <a:latin typeface="Cambria Math" panose="02040503050406030204" pitchFamily="18" charset="0"/>
                </a:rPr>
                <a:t> </a:t>
              </a:r>
              <a:r>
                <a:rPr lang="pt-BR" sz="4000" i="0">
                  <a:latin typeface="Cambria Math" panose="02040503050406030204" pitchFamily="18" charset="0"/>
                </a:rPr>
                <a:t>∑_(</a:t>
              </a:r>
              <a:r>
                <a:rPr lang="en-US" sz="4000" b="0" i="0">
                  <a:latin typeface="Cambria Math" panose="02040503050406030204" pitchFamily="18" charset="0"/>
                </a:rPr>
                <a:t>𝑡</a:t>
              </a:r>
              <a:r>
                <a:rPr lang="pt-BR" sz="4000" i="0">
                  <a:latin typeface="Cambria Math" panose="02040503050406030204" pitchFamily="18" charset="0"/>
                </a:rPr>
                <a:t>=1)</a:t>
              </a:r>
              <a:r>
                <a:rPr lang="en-US" sz="4000" b="0" i="0">
                  <a:latin typeface="Cambria Math" panose="02040503050406030204" pitchFamily="18" charset="0"/>
                </a:rPr>
                <a:t>^𝑁</a:t>
              </a:r>
              <a:r>
                <a:rPr lang="en-US" sz="4000" b="0" i="0" baseline="30000">
                  <a:latin typeface="Cambria Math" panose="02040503050406030204" pitchFamily="18" charset="0"/>
                </a:rPr>
                <a:t>▒</a:t>
              </a:r>
              <a:r>
                <a:rPr lang="pt-BR" sz="4000" b="0" i="0" baseline="30000">
                  <a:latin typeface="Cambria Math" panose="02040503050406030204" pitchFamily="18" charset="0"/>
                </a:rPr>
                <a:t>□(64&amp;</a:t>
              </a:r>
              <a:r>
                <a:rPr lang="en-US" sz="4000" b="0" i="0">
                  <a:latin typeface="Cambria Math" panose="02040503050406030204" pitchFamily="18" charset="0"/>
                </a:rPr>
                <a:t>𝐶</a:t>
              </a:r>
              <a:r>
                <a:rPr lang="en-US" sz="4000" b="0" i="0" baseline="-25000">
                  <a:latin typeface="Cambria Math" panose="02040503050406030204" pitchFamily="18" charset="0"/>
                </a:rPr>
                <a:t>𝑡</a:t>
              </a:r>
              <a:r>
                <a:rPr lang="pt-BR" sz="4000" b="0" i="0" baseline="-25000">
                  <a:latin typeface="Cambria Math" panose="02040503050406030204" pitchFamily="18" charset="0"/>
                </a:rPr>
                <a:t>/</a:t>
              </a:r>
              <a:r>
                <a:rPr lang="en-US" sz="4000" b="0" i="0" baseline="-25000">
                  <a:latin typeface="Cambria Math" panose="02040503050406030204" pitchFamily="18" charset="0"/>
                </a:rPr>
                <a:t>(</a:t>
              </a:r>
              <a:r>
                <a:rPr lang="en-US" sz="4000" b="0" i="0">
                  <a:latin typeface="Cambria Math" panose="02040503050406030204" pitchFamily="18" charset="0"/>
                </a:rPr>
                <a:t>1+𝑖)</a:t>
              </a:r>
              <a:r>
                <a:rPr lang="en-US" sz="4000" b="0" i="0" baseline="30000">
                  <a:latin typeface="Cambria Math" panose="02040503050406030204" pitchFamily="18" charset="0"/>
                </a:rPr>
                <a:t>𝑡)</a:t>
              </a:r>
              <a:r>
                <a:rPr lang="en-US" sz="4000"/>
                <a:t> x </a:t>
              </a:r>
              <a:r>
                <a:rPr lang="en-US" sz="2800" b="0" i="0" kern="1200">
                  <a:solidFill>
                    <a:schemeClr val="tx1"/>
                  </a:solidFill>
                  <a:effectLst/>
                  <a:latin typeface="Cambria Math" panose="02040503050406030204" pitchFamily="18" charset="0"/>
                  <a:ea typeface="+mn-ea"/>
                  <a:cs typeface="+mn-cs"/>
                </a:rPr>
                <a:t>1</a:t>
              </a:r>
              <a:r>
                <a:rPr lang="pt-BR" sz="2800" b="0" i="0" kern="1200">
                  <a:solidFill>
                    <a:schemeClr val="tx1"/>
                  </a:solidFill>
                  <a:effectLst/>
                  <a:latin typeface="Cambria Math" panose="02040503050406030204" pitchFamily="18" charset="0"/>
                  <a:ea typeface="+mn-ea"/>
                  <a:cs typeface="+mn-cs"/>
                </a:rPr>
                <a:t>/</a:t>
              </a:r>
              <a:r>
                <a:rPr lang="en-US" sz="2800" b="0" i="0" kern="1200">
                  <a:solidFill>
                    <a:schemeClr val="tx1"/>
                  </a:solidFill>
                  <a:effectLst/>
                  <a:latin typeface="Cambria Math" panose="02040503050406030204" pitchFamily="18" charset="0"/>
                  <a:ea typeface="+mn-ea"/>
                  <a:cs typeface="+mn-cs"/>
                </a:rPr>
                <a:t>(1+𝑖)</a:t>
              </a:r>
              <a:r>
                <a:rPr lang="en-US" sz="2800" b="0" i="0" kern="1200" baseline="30000">
                  <a:solidFill>
                    <a:schemeClr val="tx1"/>
                  </a:solidFill>
                  <a:effectLst/>
                  <a:latin typeface="Cambria Math" panose="02040503050406030204" pitchFamily="18" charset="0"/>
                  <a:ea typeface="+mn-ea"/>
                  <a:cs typeface="+mn-cs"/>
                </a:rPr>
                <a:t>2</a:t>
              </a:r>
              <a:r>
                <a:rPr lang="en-US" sz="4000"/>
                <a:t>  x (t</a:t>
              </a:r>
              <a:r>
                <a:rPr lang="en-US" sz="4000" baseline="30000"/>
                <a:t>2</a:t>
              </a:r>
              <a:r>
                <a:rPr lang="en-US" sz="4000"/>
                <a:t> + t)  </a:t>
              </a:r>
            </a:p>
            <a:p>
              <a:pPr marL="0" indent="0" algn="ctr">
                <a:buNone/>
              </a:pPr>
              <a:r>
                <a:rPr lang="en-US" sz="4000"/>
                <a:t>P = price of bond</a:t>
              </a:r>
            </a:p>
            <a:p>
              <a:pPr marL="0" indent="0" algn="ctr">
                <a:buNone/>
              </a:pPr>
              <a:r>
                <a:rPr lang="en-US" sz="4000"/>
                <a:t>C</a:t>
              </a:r>
              <a:r>
                <a:rPr lang="en-US" sz="4000" baseline="-25000"/>
                <a:t>t</a:t>
              </a:r>
              <a:r>
                <a:rPr lang="en-US" sz="4000"/>
                <a:t> = Payment of bond at t</a:t>
              </a:r>
            </a:p>
            <a:p>
              <a:pPr marL="0" indent="0" algn="ctr">
                <a:buNone/>
              </a:pPr>
              <a:r>
                <a:rPr lang="en-US" sz="4000"/>
                <a:t>i = bond’s yield</a:t>
              </a:r>
            </a:p>
            <a:p>
              <a:pPr marL="0" indent="0" algn="ctr">
                <a:buNone/>
              </a:pPr>
              <a:endParaRPr lang="en-US" sz="6000"/>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3</xdr:row>
      <xdr:rowOff>0</xdr:rowOff>
    </xdr:from>
    <xdr:ext cx="7822004" cy="9244584"/>
    <xdr:pic>
      <xdr:nvPicPr>
        <xdr:cNvPr id="2" name="Picture 1">
          <a:extLst>
            <a:ext uri="{FF2B5EF4-FFF2-40B4-BE49-F238E27FC236}">
              <a16:creationId xmlns:a16="http://schemas.microsoft.com/office/drawing/2014/main" xmlns="" id="{CFCF6129-38CB-ED4D-9406-D1176776BF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71500"/>
          <a:ext cx="7822004" cy="9244584"/>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qu\Documents\Backup_hard%20drive\My%20Documents\Mgt%20FInancial%20Institutions%20MGT%203079\convexity_duration_macaulay_periodic_and_annu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lanation of file"/>
      <sheetName val="Periodic Duration"/>
      <sheetName val="Annual duration"/>
      <sheetName val="Sheet1"/>
    </sheetNames>
    <sheetDataSet>
      <sheetData sheetId="0"/>
      <sheetData sheetId="1">
        <row r="1">
          <cell r="F1">
            <v>-0.01</v>
          </cell>
        </row>
      </sheetData>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0"/>
  <sheetViews>
    <sheetView workbookViewId="0">
      <selection activeCell="B3" sqref="B3"/>
    </sheetView>
  </sheetViews>
  <sheetFormatPr defaultColWidth="8.85546875" defaultRowHeight="15" x14ac:dyDescent="0.25"/>
  <cols>
    <col min="1" max="1" width="22.42578125" customWidth="1"/>
    <col min="2" max="2" width="27.42578125" customWidth="1"/>
    <col min="3" max="3" width="21" customWidth="1"/>
  </cols>
  <sheetData>
    <row r="1" spans="1:11" x14ac:dyDescent="0.25">
      <c r="A1" t="s">
        <v>149</v>
      </c>
      <c r="B1" s="142" t="s">
        <v>157</v>
      </c>
      <c r="C1" t="s">
        <v>151</v>
      </c>
    </row>
    <row r="2" spans="1:11" ht="15.75" thickBot="1" x14ac:dyDescent="0.3">
      <c r="A2" t="s">
        <v>146</v>
      </c>
      <c r="B2" s="143" t="s">
        <v>158</v>
      </c>
      <c r="C2" s="141" t="s">
        <v>147</v>
      </c>
      <c r="D2" s="141"/>
      <c r="E2" s="141"/>
    </row>
    <row r="3" spans="1:11" x14ac:dyDescent="0.25">
      <c r="C3" s="141" t="s">
        <v>148</v>
      </c>
      <c r="D3" s="141"/>
      <c r="E3" s="141"/>
    </row>
    <row r="7" spans="1:11" x14ac:dyDescent="0.25">
      <c r="B7" s="141" t="s">
        <v>153</v>
      </c>
      <c r="C7" s="141"/>
      <c r="D7" s="141"/>
      <c r="E7" s="141"/>
      <c r="F7" s="141"/>
      <c r="G7" s="141"/>
    </row>
    <row r="8" spans="1:11" x14ac:dyDescent="0.25">
      <c r="B8" s="141" t="s">
        <v>154</v>
      </c>
      <c r="C8" s="141"/>
      <c r="D8" s="141"/>
      <c r="E8" s="141"/>
      <c r="F8" s="141"/>
      <c r="G8" s="141"/>
    </row>
    <row r="9" spans="1:11" x14ac:dyDescent="0.25">
      <c r="B9" s="141"/>
      <c r="C9" s="141"/>
      <c r="D9" s="141"/>
      <c r="E9" s="141"/>
      <c r="F9" s="141"/>
      <c r="G9" s="141"/>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2"/>
  <sheetViews>
    <sheetView topLeftCell="A10" zoomScale="80" zoomScaleNormal="80" workbookViewId="0">
      <selection activeCell="O21" sqref="O21"/>
    </sheetView>
  </sheetViews>
  <sheetFormatPr defaultColWidth="8.85546875" defaultRowHeight="15" x14ac:dyDescent="0.25"/>
  <cols>
    <col min="1" max="1" width="21.28515625" customWidth="1"/>
    <col min="2" max="2" width="11.28515625" customWidth="1"/>
    <col min="4" max="4" width="10.5703125" customWidth="1"/>
    <col min="5" max="5" width="13.28515625" customWidth="1"/>
    <col min="6" max="6" width="12.5703125" customWidth="1"/>
    <col min="10" max="10" width="14" customWidth="1"/>
  </cols>
  <sheetData>
    <row r="1" spans="1:11" x14ac:dyDescent="0.25">
      <c r="A1" s="7" t="s">
        <v>8</v>
      </c>
      <c r="H1" t="s">
        <v>9</v>
      </c>
    </row>
    <row r="3" spans="1:11" ht="17.25" x14ac:dyDescent="0.25">
      <c r="A3" t="s">
        <v>10</v>
      </c>
      <c r="B3" t="s">
        <v>7</v>
      </c>
      <c r="H3" t="s">
        <v>11</v>
      </c>
    </row>
    <row r="4" spans="1:11" ht="17.25" x14ac:dyDescent="0.25">
      <c r="A4" s="11" t="s">
        <v>12</v>
      </c>
      <c r="B4" s="9">
        <v>1000</v>
      </c>
      <c r="C4" s="12"/>
      <c r="H4" t="s">
        <v>13</v>
      </c>
    </row>
    <row r="5" spans="1:11" ht="17.25" x14ac:dyDescent="0.25">
      <c r="A5" s="11" t="s">
        <v>14</v>
      </c>
      <c r="B5" s="9">
        <v>0.05</v>
      </c>
      <c r="C5" s="12"/>
      <c r="H5" t="s">
        <v>15</v>
      </c>
    </row>
    <row r="6" spans="1:11" x14ac:dyDescent="0.25">
      <c r="A6" s="11" t="s">
        <v>16</v>
      </c>
      <c r="B6" s="9">
        <v>0.06</v>
      </c>
      <c r="C6" s="12"/>
      <c r="D6" t="s">
        <v>17</v>
      </c>
    </row>
    <row r="7" spans="1:11" x14ac:dyDescent="0.25">
      <c r="A7" s="11" t="s">
        <v>18</v>
      </c>
      <c r="B7" s="9">
        <v>5</v>
      </c>
      <c r="C7" s="12"/>
      <c r="H7" s="7" t="s">
        <v>19</v>
      </c>
      <c r="I7" s="7"/>
      <c r="J7" s="7"/>
      <c r="K7" s="7"/>
    </row>
    <row r="9" spans="1:11" x14ac:dyDescent="0.25">
      <c r="A9" s="7" t="s">
        <v>20</v>
      </c>
      <c r="B9" s="7"/>
      <c r="C9" s="7"/>
      <c r="D9" s="7"/>
      <c r="E9" s="7"/>
    </row>
    <row r="11" spans="1:11" ht="30" x14ac:dyDescent="0.25">
      <c r="A11" t="s">
        <v>21</v>
      </c>
      <c r="B11" s="13" t="s">
        <v>22</v>
      </c>
      <c r="C11" t="s">
        <v>12</v>
      </c>
      <c r="D11" s="13" t="s">
        <v>23</v>
      </c>
      <c r="E11" s="13" t="s">
        <v>24</v>
      </c>
      <c r="F11" s="13" t="s">
        <v>25</v>
      </c>
      <c r="H11" s="158" t="s">
        <v>26</v>
      </c>
      <c r="I11" s="158"/>
      <c r="J11" s="158"/>
    </row>
    <row r="12" spans="1:11" ht="60" x14ac:dyDescent="0.25">
      <c r="A12">
        <v>0</v>
      </c>
      <c r="D12" s="14">
        <f>SUM(D13:D22)</f>
        <v>213.25507091939573</v>
      </c>
      <c r="E12" s="14">
        <f>E22</f>
        <v>744.09391489672521</v>
      </c>
      <c r="F12" s="14">
        <f>D12+E12</f>
        <v>957.34898581612094</v>
      </c>
      <c r="H12" s="15" t="s">
        <v>27</v>
      </c>
      <c r="I12" s="15" t="s">
        <v>28</v>
      </c>
      <c r="J12" s="15" t="s">
        <v>29</v>
      </c>
    </row>
    <row r="13" spans="1:11" ht="15.75" thickBot="1" x14ac:dyDescent="0.3">
      <c r="A13">
        <v>1</v>
      </c>
      <c r="B13">
        <f>B$4*B$5/2</f>
        <v>25</v>
      </c>
      <c r="D13" s="16">
        <f>B13/(1+$B$6/2)^A13</f>
        <v>24.271844660194173</v>
      </c>
      <c r="H13" s="17">
        <f>-PV(B6/2,B7*2,B4*B5/2,0)</f>
        <v>213.25507091939571</v>
      </c>
      <c r="I13" s="18">
        <f>-PV(B6/2,B7*2,0,B4)</f>
        <v>744.09391489672521</v>
      </c>
      <c r="J13" s="17">
        <f>-PV(B6/2,B7*2,B4*B5/2,B4)</f>
        <v>957.34898581612094</v>
      </c>
    </row>
    <row r="14" spans="1:11" ht="45.75" thickBot="1" x14ac:dyDescent="0.3">
      <c r="A14">
        <v>2</v>
      </c>
      <c r="B14">
        <f t="shared" ref="B14:B22" si="0">B$4*B$5/2</f>
        <v>25</v>
      </c>
      <c r="D14" s="16">
        <f t="shared" ref="D14:D22" si="1">B14/(1+$B$6/2)^A14</f>
        <v>23.564897728343858</v>
      </c>
      <c r="H14" s="13" t="s">
        <v>30</v>
      </c>
      <c r="I14" s="19">
        <f>H13+I13</f>
        <v>957.34898581612094</v>
      </c>
    </row>
    <row r="15" spans="1:11" x14ac:dyDescent="0.25">
      <c r="A15">
        <v>3</v>
      </c>
      <c r="B15">
        <f t="shared" si="0"/>
        <v>25</v>
      </c>
      <c r="D15" s="16">
        <f t="shared" si="1"/>
        <v>22.87854148382899</v>
      </c>
    </row>
    <row r="16" spans="1:11" x14ac:dyDescent="0.25">
      <c r="A16">
        <v>4</v>
      </c>
      <c r="B16">
        <f t="shared" si="0"/>
        <v>25</v>
      </c>
      <c r="D16" s="16">
        <f t="shared" si="1"/>
        <v>22.212176197892223</v>
      </c>
    </row>
    <row r="17" spans="1:5" x14ac:dyDescent="0.25">
      <c r="A17">
        <v>5</v>
      </c>
      <c r="B17">
        <f t="shared" si="0"/>
        <v>25</v>
      </c>
      <c r="D17" s="16">
        <f t="shared" si="1"/>
        <v>21.565219609604103</v>
      </c>
    </row>
    <row r="18" spans="1:5" x14ac:dyDescent="0.25">
      <c r="A18">
        <v>6</v>
      </c>
      <c r="B18">
        <f t="shared" si="0"/>
        <v>25</v>
      </c>
      <c r="D18" s="16">
        <f t="shared" si="1"/>
        <v>20.937106417091361</v>
      </c>
    </row>
    <row r="19" spans="1:5" x14ac:dyDescent="0.25">
      <c r="A19">
        <v>7</v>
      </c>
      <c r="B19">
        <f t="shared" si="0"/>
        <v>25</v>
      </c>
      <c r="D19" s="16">
        <f t="shared" si="1"/>
        <v>20.327287783583845</v>
      </c>
    </row>
    <row r="20" spans="1:5" x14ac:dyDescent="0.25">
      <c r="A20">
        <v>8</v>
      </c>
      <c r="B20">
        <f t="shared" si="0"/>
        <v>25</v>
      </c>
      <c r="D20" s="16">
        <f t="shared" si="1"/>
        <v>19.735230857848393</v>
      </c>
    </row>
    <row r="21" spans="1:5" x14ac:dyDescent="0.25">
      <c r="A21">
        <v>9</v>
      </c>
      <c r="B21">
        <f t="shared" si="0"/>
        <v>25</v>
      </c>
      <c r="D21" s="16">
        <f t="shared" si="1"/>
        <v>19.160418308590675</v>
      </c>
    </row>
    <row r="22" spans="1:5" x14ac:dyDescent="0.25">
      <c r="A22">
        <v>10</v>
      </c>
      <c r="B22">
        <f t="shared" si="0"/>
        <v>25</v>
      </c>
      <c r="C22">
        <f>B4</f>
        <v>1000</v>
      </c>
      <c r="D22" s="16">
        <f t="shared" si="1"/>
        <v>18.602347872418129</v>
      </c>
      <c r="E22" s="16">
        <f>C22/(1+$B$6/2)^A22</f>
        <v>744.09391489672521</v>
      </c>
    </row>
  </sheetData>
  <mergeCells count="1">
    <mergeCell ref="H11:J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94"/>
  <sheetViews>
    <sheetView topLeftCell="A10" zoomScaleNormal="100" workbookViewId="0">
      <selection activeCell="G12" sqref="G12"/>
    </sheetView>
  </sheetViews>
  <sheetFormatPr defaultColWidth="8.85546875" defaultRowHeight="15" x14ac:dyDescent="0.25"/>
  <cols>
    <col min="1" max="1" width="16.140625" customWidth="1"/>
    <col min="7" max="7" width="12.28515625" customWidth="1"/>
    <col min="8" max="8" width="9.85546875" customWidth="1"/>
  </cols>
  <sheetData>
    <row r="1" spans="1:8" x14ac:dyDescent="0.25">
      <c r="A1" t="s">
        <v>8</v>
      </c>
      <c r="D1" t="s">
        <v>19</v>
      </c>
    </row>
    <row r="2" spans="1:8" x14ac:dyDescent="0.25">
      <c r="D2" t="s">
        <v>9</v>
      </c>
    </row>
    <row r="3" spans="1:8" x14ac:dyDescent="0.25">
      <c r="A3" t="s">
        <v>10</v>
      </c>
      <c r="B3" t="s">
        <v>7</v>
      </c>
    </row>
    <row r="4" spans="1:8" ht="17.25" x14ac:dyDescent="0.25">
      <c r="A4" s="11" t="s">
        <v>12</v>
      </c>
      <c r="B4" s="9">
        <v>1000</v>
      </c>
      <c r="D4" t="s">
        <v>15</v>
      </c>
    </row>
    <row r="5" spans="1:8" x14ac:dyDescent="0.25">
      <c r="A5" s="11" t="s">
        <v>14</v>
      </c>
      <c r="B5" s="9">
        <v>0.05</v>
      </c>
    </row>
    <row r="6" spans="1:8" x14ac:dyDescent="0.25">
      <c r="A6" s="11" t="s">
        <v>16</v>
      </c>
      <c r="B6" s="9">
        <v>0.06</v>
      </c>
    </row>
    <row r="7" spans="1:8" x14ac:dyDescent="0.25">
      <c r="A7" s="11" t="s">
        <v>18</v>
      </c>
      <c r="B7" s="9">
        <v>15</v>
      </c>
    </row>
    <row r="9" spans="1:8" ht="15.75" thickBot="1" x14ac:dyDescent="0.3">
      <c r="A9" s="7" t="s">
        <v>36</v>
      </c>
      <c r="B9" t="s">
        <v>35</v>
      </c>
      <c r="C9" t="s">
        <v>34</v>
      </c>
      <c r="D9" t="s">
        <v>33</v>
      </c>
      <c r="G9" s="22" t="s">
        <v>26</v>
      </c>
    </row>
    <row r="10" spans="1:8" ht="15.75" thickBot="1" x14ac:dyDescent="0.3">
      <c r="A10" s="11">
        <v>0</v>
      </c>
      <c r="B10" s="11"/>
      <c r="C10" s="11"/>
      <c r="D10" s="21">
        <f>SUM(C11:C94)</f>
        <v>901.99779325265138</v>
      </c>
      <c r="G10" s="15" t="s">
        <v>32</v>
      </c>
    </row>
    <row r="11" spans="1:8" x14ac:dyDescent="0.25">
      <c r="A11" s="16">
        <f>IFERROR(IF($B$7*2&gt;=A10+1,A10+1, ""), "")</f>
        <v>1</v>
      </c>
      <c r="B11" s="16">
        <f>IF(A11&lt;B$7*2,B$4*B$5/2, IF(B$7*2=A11,(B$4*B$5)/2+B$4, ""))</f>
        <v>25</v>
      </c>
      <c r="C11" s="16">
        <f>IF(B11&lt;&gt;"",B11/(1+B$6/2)^A11,"")</f>
        <v>24.271844660194173</v>
      </c>
      <c r="D11" t="s">
        <v>152</v>
      </c>
      <c r="G11" s="20">
        <f>-PV(B6/2,B7*2,B4*B5/2,B4)</f>
        <v>901.99779325265126</v>
      </c>
      <c r="H11" t="s">
        <v>31</v>
      </c>
    </row>
    <row r="12" spans="1:8" x14ac:dyDescent="0.25">
      <c r="A12" s="16">
        <f t="shared" ref="A12:A75" si="0">IFERROR(IF($B$7*2&gt;=A11+1,A11+1, ""), "")</f>
        <v>2</v>
      </c>
      <c r="B12" s="16">
        <f t="shared" ref="B12:B75" si="1">IF(A12&lt;B$7*2,B$4*B$5/2, IF(B$7*2=A12,(B$4*B$5)/2+B$4, ""))</f>
        <v>25</v>
      </c>
      <c r="C12" s="16">
        <f t="shared" ref="C12:C75" si="2">IF(B12&lt;&gt;"",B12/(1+B$6/2)^A12,"")</f>
        <v>23.564897728343858</v>
      </c>
      <c r="G12" s="13" t="s">
        <v>7</v>
      </c>
    </row>
    <row r="13" spans="1:8" x14ac:dyDescent="0.25">
      <c r="A13" s="16">
        <f t="shared" si="0"/>
        <v>3</v>
      </c>
      <c r="B13" s="16">
        <f t="shared" si="1"/>
        <v>25</v>
      </c>
      <c r="C13" s="16">
        <f t="shared" si="2"/>
        <v>22.87854148382899</v>
      </c>
    </row>
    <row r="14" spans="1:8" x14ac:dyDescent="0.25">
      <c r="A14" s="16">
        <f t="shared" si="0"/>
        <v>4</v>
      </c>
      <c r="B14" s="16">
        <f t="shared" si="1"/>
        <v>25</v>
      </c>
      <c r="C14" s="16">
        <f t="shared" si="2"/>
        <v>22.212176197892223</v>
      </c>
    </row>
    <row r="15" spans="1:8" x14ac:dyDescent="0.25">
      <c r="A15" s="16">
        <f t="shared" si="0"/>
        <v>5</v>
      </c>
      <c r="B15" s="16">
        <f t="shared" si="1"/>
        <v>25</v>
      </c>
      <c r="C15" s="16">
        <f t="shared" si="2"/>
        <v>21.565219609604103</v>
      </c>
    </row>
    <row r="16" spans="1:8" x14ac:dyDescent="0.25">
      <c r="A16" s="16">
        <f t="shared" si="0"/>
        <v>6</v>
      </c>
      <c r="B16" s="16">
        <f t="shared" si="1"/>
        <v>25</v>
      </c>
      <c r="C16" s="16">
        <f t="shared" si="2"/>
        <v>20.937106417091361</v>
      </c>
    </row>
    <row r="17" spans="1:3" x14ac:dyDescent="0.25">
      <c r="A17" s="16">
        <f t="shared" si="0"/>
        <v>7</v>
      </c>
      <c r="B17" s="16">
        <f t="shared" si="1"/>
        <v>25</v>
      </c>
      <c r="C17" s="16">
        <f t="shared" si="2"/>
        <v>20.327287783583845</v>
      </c>
    </row>
    <row r="18" spans="1:3" x14ac:dyDescent="0.25">
      <c r="A18" s="16">
        <f t="shared" si="0"/>
        <v>8</v>
      </c>
      <c r="B18" s="16">
        <f t="shared" si="1"/>
        <v>25</v>
      </c>
      <c r="C18" s="16">
        <f t="shared" si="2"/>
        <v>19.735230857848393</v>
      </c>
    </row>
    <row r="19" spans="1:3" x14ac:dyDescent="0.25">
      <c r="A19" s="16">
        <f t="shared" si="0"/>
        <v>9</v>
      </c>
      <c r="B19" s="16">
        <f t="shared" si="1"/>
        <v>25</v>
      </c>
      <c r="C19" s="16">
        <f t="shared" si="2"/>
        <v>19.160418308590675</v>
      </c>
    </row>
    <row r="20" spans="1:3" x14ac:dyDescent="0.25">
      <c r="A20" s="16">
        <f t="shared" si="0"/>
        <v>10</v>
      </c>
      <c r="B20" s="16">
        <f t="shared" si="1"/>
        <v>25</v>
      </c>
      <c r="C20" s="16">
        <f t="shared" si="2"/>
        <v>18.602347872418129</v>
      </c>
    </row>
    <row r="21" spans="1:3" x14ac:dyDescent="0.25">
      <c r="A21" s="16">
        <f t="shared" si="0"/>
        <v>11</v>
      </c>
      <c r="B21" s="16">
        <f t="shared" si="1"/>
        <v>25</v>
      </c>
      <c r="C21" s="16">
        <f t="shared" si="2"/>
        <v>18.060531914969058</v>
      </c>
    </row>
    <row r="22" spans="1:3" x14ac:dyDescent="0.25">
      <c r="A22" s="16">
        <f t="shared" si="0"/>
        <v>12</v>
      </c>
      <c r="B22" s="16">
        <f t="shared" si="1"/>
        <v>25</v>
      </c>
      <c r="C22" s="16">
        <f t="shared" si="2"/>
        <v>17.534497004824331</v>
      </c>
    </row>
    <row r="23" spans="1:3" x14ac:dyDescent="0.25">
      <c r="A23" s="16">
        <f t="shared" si="0"/>
        <v>13</v>
      </c>
      <c r="B23" s="16">
        <f t="shared" si="1"/>
        <v>25</v>
      </c>
      <c r="C23" s="16">
        <f t="shared" si="2"/>
        <v>17.023783499829449</v>
      </c>
    </row>
    <row r="24" spans="1:3" x14ac:dyDescent="0.25">
      <c r="A24" s="16">
        <f t="shared" si="0"/>
        <v>14</v>
      </c>
      <c r="B24" s="16">
        <f t="shared" si="1"/>
        <v>25</v>
      </c>
      <c r="C24" s="16">
        <f t="shared" si="2"/>
        <v>16.52794514546548</v>
      </c>
    </row>
    <row r="25" spans="1:3" x14ac:dyDescent="0.25">
      <c r="A25" s="16">
        <f t="shared" si="0"/>
        <v>15</v>
      </c>
      <c r="B25" s="16">
        <f t="shared" si="1"/>
        <v>25</v>
      </c>
      <c r="C25" s="16">
        <f t="shared" si="2"/>
        <v>16.046548684917941</v>
      </c>
    </row>
    <row r="26" spans="1:3" x14ac:dyDescent="0.25">
      <c r="A26" s="16">
        <f t="shared" si="0"/>
        <v>16</v>
      </c>
      <c r="B26" s="16">
        <f t="shared" si="1"/>
        <v>25</v>
      </c>
      <c r="C26" s="16">
        <f t="shared" si="2"/>
        <v>15.57917348050286</v>
      </c>
    </row>
    <row r="27" spans="1:3" x14ac:dyDescent="0.25">
      <c r="A27" s="16">
        <f t="shared" si="0"/>
        <v>17</v>
      </c>
      <c r="B27" s="16">
        <f t="shared" si="1"/>
        <v>25</v>
      </c>
      <c r="C27" s="16">
        <f t="shared" si="2"/>
        <v>15.12541114611928</v>
      </c>
    </row>
    <row r="28" spans="1:3" x14ac:dyDescent="0.25">
      <c r="A28" s="16">
        <f t="shared" si="0"/>
        <v>18</v>
      </c>
      <c r="B28" s="16">
        <f t="shared" si="1"/>
        <v>25</v>
      </c>
      <c r="C28" s="16">
        <f t="shared" si="2"/>
        <v>14.684865190407068</v>
      </c>
    </row>
    <row r="29" spans="1:3" x14ac:dyDescent="0.25">
      <c r="A29" s="16">
        <f t="shared" si="0"/>
        <v>19</v>
      </c>
      <c r="B29" s="16">
        <f t="shared" si="1"/>
        <v>25</v>
      </c>
      <c r="C29" s="16">
        <f t="shared" si="2"/>
        <v>14.257150670298126</v>
      </c>
    </row>
    <row r="30" spans="1:3" x14ac:dyDescent="0.25">
      <c r="A30" s="16">
        <f t="shared" si="0"/>
        <v>20</v>
      </c>
      <c r="B30" s="16">
        <f t="shared" si="1"/>
        <v>25</v>
      </c>
      <c r="C30" s="16">
        <f t="shared" si="2"/>
        <v>13.841893854658375</v>
      </c>
    </row>
    <row r="31" spans="1:3" x14ac:dyDescent="0.25">
      <c r="A31" s="16">
        <f t="shared" si="0"/>
        <v>21</v>
      </c>
      <c r="B31" s="16">
        <f t="shared" si="1"/>
        <v>25</v>
      </c>
      <c r="C31" s="16">
        <f t="shared" si="2"/>
        <v>13.438731897726578</v>
      </c>
    </row>
    <row r="32" spans="1:3" x14ac:dyDescent="0.25">
      <c r="A32" s="16">
        <f t="shared" si="0"/>
        <v>22</v>
      </c>
      <c r="B32" s="16">
        <f t="shared" si="1"/>
        <v>25</v>
      </c>
      <c r="C32" s="16">
        <f t="shared" si="2"/>
        <v>13.047312522064638</v>
      </c>
    </row>
    <row r="33" spans="1:3" x14ac:dyDescent="0.25">
      <c r="A33" s="16">
        <f t="shared" si="0"/>
        <v>23</v>
      </c>
      <c r="B33" s="16">
        <f t="shared" si="1"/>
        <v>25</v>
      </c>
      <c r="C33" s="16">
        <f t="shared" si="2"/>
        <v>12.667293710742367</v>
      </c>
    </row>
    <row r="34" spans="1:3" x14ac:dyDescent="0.25">
      <c r="A34" s="16">
        <f t="shared" si="0"/>
        <v>24</v>
      </c>
      <c r="B34" s="16">
        <f t="shared" si="1"/>
        <v>25</v>
      </c>
      <c r="C34" s="16">
        <f t="shared" si="2"/>
        <v>12.298343408487737</v>
      </c>
    </row>
    <row r="35" spans="1:3" x14ac:dyDescent="0.25">
      <c r="A35" s="16">
        <f t="shared" si="0"/>
        <v>25</v>
      </c>
      <c r="B35" s="16">
        <f t="shared" si="1"/>
        <v>25</v>
      </c>
      <c r="C35" s="16">
        <f t="shared" si="2"/>
        <v>11.940139231541492</v>
      </c>
    </row>
    <row r="36" spans="1:3" x14ac:dyDescent="0.25">
      <c r="A36" s="16">
        <f t="shared" si="0"/>
        <v>26</v>
      </c>
      <c r="B36" s="16">
        <f t="shared" si="1"/>
        <v>25</v>
      </c>
      <c r="C36" s="16">
        <f t="shared" si="2"/>
        <v>11.592368185962611</v>
      </c>
    </row>
    <row r="37" spans="1:3" x14ac:dyDescent="0.25">
      <c r="A37" s="16">
        <f t="shared" si="0"/>
        <v>27</v>
      </c>
      <c r="B37" s="16">
        <f t="shared" si="1"/>
        <v>25</v>
      </c>
      <c r="C37" s="16">
        <f t="shared" si="2"/>
        <v>11.254726394138459</v>
      </c>
    </row>
    <row r="38" spans="1:3" x14ac:dyDescent="0.25">
      <c r="A38" s="16">
        <f t="shared" si="0"/>
        <v>28</v>
      </c>
      <c r="B38" s="16">
        <f t="shared" si="1"/>
        <v>25</v>
      </c>
      <c r="C38" s="16">
        <f t="shared" si="2"/>
        <v>10.926918829260639</v>
      </c>
    </row>
    <row r="39" spans="1:3" x14ac:dyDescent="0.25">
      <c r="A39" s="16">
        <f t="shared" si="0"/>
        <v>29</v>
      </c>
      <c r="B39" s="16">
        <f t="shared" si="1"/>
        <v>25</v>
      </c>
      <c r="C39" s="16">
        <f t="shared" si="2"/>
        <v>10.608659057534602</v>
      </c>
    </row>
    <row r="40" spans="1:3" x14ac:dyDescent="0.25">
      <c r="A40" s="16">
        <f t="shared" si="0"/>
        <v>30</v>
      </c>
      <c r="B40" s="16">
        <f t="shared" si="1"/>
        <v>1025</v>
      </c>
      <c r="C40" s="16">
        <f t="shared" si="2"/>
        <v>422.28642850380459</v>
      </c>
    </row>
    <row r="41" spans="1:3" x14ac:dyDescent="0.25">
      <c r="A41" s="16" t="str">
        <f t="shared" si="0"/>
        <v/>
      </c>
      <c r="B41" s="16" t="str">
        <f t="shared" si="1"/>
        <v/>
      </c>
      <c r="C41" s="16" t="str">
        <f t="shared" si="2"/>
        <v/>
      </c>
    </row>
    <row r="42" spans="1:3" x14ac:dyDescent="0.25">
      <c r="A42" s="16" t="str">
        <f t="shared" si="0"/>
        <v/>
      </c>
      <c r="B42" s="16" t="str">
        <f t="shared" si="1"/>
        <v/>
      </c>
      <c r="C42" s="16" t="str">
        <f t="shared" si="2"/>
        <v/>
      </c>
    </row>
    <row r="43" spans="1:3" x14ac:dyDescent="0.25">
      <c r="A43" s="16" t="str">
        <f t="shared" si="0"/>
        <v/>
      </c>
      <c r="B43" s="16" t="str">
        <f t="shared" si="1"/>
        <v/>
      </c>
      <c r="C43" s="16" t="str">
        <f t="shared" si="2"/>
        <v/>
      </c>
    </row>
    <row r="44" spans="1:3" x14ac:dyDescent="0.25">
      <c r="A44" s="16" t="str">
        <f t="shared" si="0"/>
        <v/>
      </c>
      <c r="B44" s="16" t="str">
        <f t="shared" si="1"/>
        <v/>
      </c>
      <c r="C44" s="16" t="str">
        <f t="shared" si="2"/>
        <v/>
      </c>
    </row>
    <row r="45" spans="1:3" x14ac:dyDescent="0.25">
      <c r="A45" s="16" t="str">
        <f t="shared" si="0"/>
        <v/>
      </c>
      <c r="B45" s="16" t="str">
        <f t="shared" si="1"/>
        <v/>
      </c>
      <c r="C45" s="16" t="str">
        <f t="shared" si="2"/>
        <v/>
      </c>
    </row>
    <row r="46" spans="1:3" x14ac:dyDescent="0.25">
      <c r="A46" s="16" t="str">
        <f t="shared" si="0"/>
        <v/>
      </c>
      <c r="B46" s="16" t="str">
        <f t="shared" si="1"/>
        <v/>
      </c>
      <c r="C46" s="16" t="str">
        <f t="shared" si="2"/>
        <v/>
      </c>
    </row>
    <row r="47" spans="1:3" x14ac:dyDescent="0.25">
      <c r="A47" s="16" t="str">
        <f t="shared" si="0"/>
        <v/>
      </c>
      <c r="B47" s="16" t="str">
        <f t="shared" si="1"/>
        <v/>
      </c>
      <c r="C47" s="16" t="str">
        <f t="shared" si="2"/>
        <v/>
      </c>
    </row>
    <row r="48" spans="1:3" x14ac:dyDescent="0.25">
      <c r="A48" s="16" t="str">
        <f t="shared" si="0"/>
        <v/>
      </c>
      <c r="B48" s="16" t="str">
        <f t="shared" si="1"/>
        <v/>
      </c>
      <c r="C48" s="16" t="str">
        <f t="shared" si="2"/>
        <v/>
      </c>
    </row>
    <row r="49" spans="1:3" x14ac:dyDescent="0.25">
      <c r="A49" s="16" t="str">
        <f t="shared" si="0"/>
        <v/>
      </c>
      <c r="B49" s="16" t="str">
        <f t="shared" si="1"/>
        <v/>
      </c>
      <c r="C49" s="16" t="str">
        <f t="shared" si="2"/>
        <v/>
      </c>
    </row>
    <row r="50" spans="1:3" x14ac:dyDescent="0.25">
      <c r="A50" s="16" t="str">
        <f t="shared" si="0"/>
        <v/>
      </c>
      <c r="B50" s="16" t="str">
        <f t="shared" si="1"/>
        <v/>
      </c>
      <c r="C50" s="16" t="str">
        <f t="shared" si="2"/>
        <v/>
      </c>
    </row>
    <row r="51" spans="1:3" x14ac:dyDescent="0.25">
      <c r="A51" s="16" t="str">
        <f t="shared" si="0"/>
        <v/>
      </c>
      <c r="B51" s="16" t="str">
        <f t="shared" si="1"/>
        <v/>
      </c>
      <c r="C51" s="16" t="str">
        <f t="shared" si="2"/>
        <v/>
      </c>
    </row>
    <row r="52" spans="1:3" x14ac:dyDescent="0.25">
      <c r="A52" s="16" t="str">
        <f t="shared" si="0"/>
        <v/>
      </c>
      <c r="B52" s="16" t="str">
        <f t="shared" si="1"/>
        <v/>
      </c>
      <c r="C52" s="16" t="str">
        <f t="shared" si="2"/>
        <v/>
      </c>
    </row>
    <row r="53" spans="1:3" x14ac:dyDescent="0.25">
      <c r="A53" s="16" t="str">
        <f t="shared" si="0"/>
        <v/>
      </c>
      <c r="B53" s="16" t="str">
        <f t="shared" si="1"/>
        <v/>
      </c>
      <c r="C53" s="16" t="str">
        <f t="shared" si="2"/>
        <v/>
      </c>
    </row>
    <row r="54" spans="1:3" x14ac:dyDescent="0.25">
      <c r="A54" s="16" t="str">
        <f t="shared" si="0"/>
        <v/>
      </c>
      <c r="B54" s="16" t="str">
        <f t="shared" si="1"/>
        <v/>
      </c>
      <c r="C54" s="16" t="str">
        <f t="shared" si="2"/>
        <v/>
      </c>
    </row>
    <row r="55" spans="1:3" x14ac:dyDescent="0.25">
      <c r="A55" s="16" t="str">
        <f t="shared" si="0"/>
        <v/>
      </c>
      <c r="B55" s="16" t="str">
        <f t="shared" si="1"/>
        <v/>
      </c>
      <c r="C55" s="16" t="str">
        <f t="shared" si="2"/>
        <v/>
      </c>
    </row>
    <row r="56" spans="1:3" x14ac:dyDescent="0.25">
      <c r="A56" s="16" t="str">
        <f t="shared" si="0"/>
        <v/>
      </c>
      <c r="B56" s="16" t="str">
        <f t="shared" si="1"/>
        <v/>
      </c>
      <c r="C56" s="16" t="str">
        <f t="shared" si="2"/>
        <v/>
      </c>
    </row>
    <row r="57" spans="1:3" x14ac:dyDescent="0.25">
      <c r="A57" s="16" t="str">
        <f t="shared" si="0"/>
        <v/>
      </c>
      <c r="B57" s="16" t="str">
        <f t="shared" si="1"/>
        <v/>
      </c>
      <c r="C57" s="16" t="str">
        <f t="shared" si="2"/>
        <v/>
      </c>
    </row>
    <row r="58" spans="1:3" x14ac:dyDescent="0.25">
      <c r="A58" s="16" t="str">
        <f t="shared" si="0"/>
        <v/>
      </c>
      <c r="B58" s="16" t="str">
        <f t="shared" si="1"/>
        <v/>
      </c>
      <c r="C58" s="16" t="str">
        <f t="shared" si="2"/>
        <v/>
      </c>
    </row>
    <row r="59" spans="1:3" x14ac:dyDescent="0.25">
      <c r="A59" s="16" t="str">
        <f t="shared" si="0"/>
        <v/>
      </c>
      <c r="B59" s="16" t="str">
        <f t="shared" si="1"/>
        <v/>
      </c>
      <c r="C59" s="16" t="str">
        <f t="shared" si="2"/>
        <v/>
      </c>
    </row>
    <row r="60" spans="1:3" x14ac:dyDescent="0.25">
      <c r="A60" s="16" t="str">
        <f t="shared" si="0"/>
        <v/>
      </c>
      <c r="B60" s="16" t="str">
        <f t="shared" si="1"/>
        <v/>
      </c>
      <c r="C60" s="16" t="str">
        <f t="shared" si="2"/>
        <v/>
      </c>
    </row>
    <row r="61" spans="1:3" x14ac:dyDescent="0.25">
      <c r="A61" s="16" t="str">
        <f t="shared" si="0"/>
        <v/>
      </c>
      <c r="B61" s="16" t="str">
        <f t="shared" si="1"/>
        <v/>
      </c>
      <c r="C61" s="16" t="str">
        <f t="shared" si="2"/>
        <v/>
      </c>
    </row>
    <row r="62" spans="1:3" x14ac:dyDescent="0.25">
      <c r="A62" s="16" t="str">
        <f t="shared" si="0"/>
        <v/>
      </c>
      <c r="B62" s="16" t="str">
        <f t="shared" si="1"/>
        <v/>
      </c>
      <c r="C62" s="16" t="str">
        <f t="shared" si="2"/>
        <v/>
      </c>
    </row>
    <row r="63" spans="1:3" x14ac:dyDescent="0.25">
      <c r="A63" s="16" t="str">
        <f t="shared" si="0"/>
        <v/>
      </c>
      <c r="B63" s="16" t="str">
        <f t="shared" si="1"/>
        <v/>
      </c>
      <c r="C63" s="16" t="str">
        <f t="shared" si="2"/>
        <v/>
      </c>
    </row>
    <row r="64" spans="1:3" x14ac:dyDescent="0.25">
      <c r="A64" s="16" t="str">
        <f t="shared" si="0"/>
        <v/>
      </c>
      <c r="B64" s="16" t="str">
        <f t="shared" si="1"/>
        <v/>
      </c>
      <c r="C64" s="16" t="str">
        <f t="shared" si="2"/>
        <v/>
      </c>
    </row>
    <row r="65" spans="1:3" x14ac:dyDescent="0.25">
      <c r="A65" s="16" t="str">
        <f t="shared" si="0"/>
        <v/>
      </c>
      <c r="B65" s="16" t="str">
        <f t="shared" si="1"/>
        <v/>
      </c>
      <c r="C65" s="16" t="str">
        <f t="shared" si="2"/>
        <v/>
      </c>
    </row>
    <row r="66" spans="1:3" x14ac:dyDescent="0.25">
      <c r="A66" s="16" t="str">
        <f t="shared" si="0"/>
        <v/>
      </c>
      <c r="B66" s="16" t="str">
        <f t="shared" si="1"/>
        <v/>
      </c>
      <c r="C66" s="16" t="str">
        <f t="shared" si="2"/>
        <v/>
      </c>
    </row>
    <row r="67" spans="1:3" x14ac:dyDescent="0.25">
      <c r="A67" s="16" t="str">
        <f t="shared" si="0"/>
        <v/>
      </c>
      <c r="B67" s="16" t="str">
        <f t="shared" si="1"/>
        <v/>
      </c>
      <c r="C67" s="16" t="str">
        <f t="shared" si="2"/>
        <v/>
      </c>
    </row>
    <row r="68" spans="1:3" x14ac:dyDescent="0.25">
      <c r="A68" s="16" t="str">
        <f t="shared" si="0"/>
        <v/>
      </c>
      <c r="B68" s="16" t="str">
        <f t="shared" si="1"/>
        <v/>
      </c>
      <c r="C68" s="16" t="str">
        <f t="shared" si="2"/>
        <v/>
      </c>
    </row>
    <row r="69" spans="1:3" x14ac:dyDescent="0.25">
      <c r="A69" s="16" t="str">
        <f t="shared" si="0"/>
        <v/>
      </c>
      <c r="B69" s="16" t="str">
        <f t="shared" si="1"/>
        <v/>
      </c>
      <c r="C69" s="16" t="str">
        <f t="shared" si="2"/>
        <v/>
      </c>
    </row>
    <row r="70" spans="1:3" x14ac:dyDescent="0.25">
      <c r="A70" s="16" t="str">
        <f t="shared" si="0"/>
        <v/>
      </c>
      <c r="B70" s="16" t="str">
        <f t="shared" si="1"/>
        <v/>
      </c>
      <c r="C70" s="16" t="str">
        <f t="shared" si="2"/>
        <v/>
      </c>
    </row>
    <row r="71" spans="1:3" x14ac:dyDescent="0.25">
      <c r="A71" s="16" t="str">
        <f t="shared" si="0"/>
        <v/>
      </c>
      <c r="B71" s="16" t="str">
        <f t="shared" si="1"/>
        <v/>
      </c>
      <c r="C71" s="16" t="str">
        <f t="shared" si="2"/>
        <v/>
      </c>
    </row>
    <row r="72" spans="1:3" x14ac:dyDescent="0.25">
      <c r="A72" s="16" t="str">
        <f t="shared" si="0"/>
        <v/>
      </c>
      <c r="B72" s="16" t="str">
        <f t="shared" si="1"/>
        <v/>
      </c>
      <c r="C72" s="16" t="str">
        <f t="shared" si="2"/>
        <v/>
      </c>
    </row>
    <row r="73" spans="1:3" x14ac:dyDescent="0.25">
      <c r="A73" s="16" t="str">
        <f t="shared" si="0"/>
        <v/>
      </c>
      <c r="B73" s="16" t="str">
        <f t="shared" si="1"/>
        <v/>
      </c>
      <c r="C73" s="16" t="str">
        <f t="shared" si="2"/>
        <v/>
      </c>
    </row>
    <row r="74" spans="1:3" x14ac:dyDescent="0.25">
      <c r="A74" s="16" t="str">
        <f t="shared" si="0"/>
        <v/>
      </c>
      <c r="B74" s="16" t="str">
        <f t="shared" si="1"/>
        <v/>
      </c>
      <c r="C74" s="16" t="str">
        <f t="shared" si="2"/>
        <v/>
      </c>
    </row>
    <row r="75" spans="1:3" x14ac:dyDescent="0.25">
      <c r="A75" s="16" t="str">
        <f t="shared" si="0"/>
        <v/>
      </c>
      <c r="B75" s="16" t="str">
        <f t="shared" si="1"/>
        <v/>
      </c>
      <c r="C75" s="16" t="str">
        <f t="shared" si="2"/>
        <v/>
      </c>
    </row>
    <row r="76" spans="1:3" x14ac:dyDescent="0.25">
      <c r="A76" s="16" t="str">
        <f t="shared" ref="A76:A94" si="3">IFERROR(IF($B$7*2&gt;=A75+1,A75+1, ""), "")</f>
        <v/>
      </c>
      <c r="B76" s="16" t="str">
        <f t="shared" ref="B76:B94" si="4">IF(A76&lt;B$7*2,B$4*B$5/2, IF(B$7*2=A76,(B$4*B$5)/2+B$4, ""))</f>
        <v/>
      </c>
      <c r="C76" s="16" t="str">
        <f t="shared" ref="C76:C94" si="5">IF(B76&lt;&gt;"",B76/(1+B$6/2)^A76,"")</f>
        <v/>
      </c>
    </row>
    <row r="77" spans="1:3" x14ac:dyDescent="0.25">
      <c r="A77" s="16" t="str">
        <f t="shared" si="3"/>
        <v/>
      </c>
      <c r="B77" s="16" t="str">
        <f t="shared" si="4"/>
        <v/>
      </c>
      <c r="C77" s="16" t="str">
        <f t="shared" si="5"/>
        <v/>
      </c>
    </row>
    <row r="78" spans="1:3" x14ac:dyDescent="0.25">
      <c r="A78" s="16" t="str">
        <f t="shared" si="3"/>
        <v/>
      </c>
      <c r="B78" s="16" t="str">
        <f t="shared" si="4"/>
        <v/>
      </c>
      <c r="C78" s="16" t="str">
        <f t="shared" si="5"/>
        <v/>
      </c>
    </row>
    <row r="79" spans="1:3" x14ac:dyDescent="0.25">
      <c r="A79" s="16" t="str">
        <f t="shared" si="3"/>
        <v/>
      </c>
      <c r="B79" s="16" t="str">
        <f t="shared" si="4"/>
        <v/>
      </c>
      <c r="C79" s="16" t="str">
        <f t="shared" si="5"/>
        <v/>
      </c>
    </row>
    <row r="80" spans="1:3" x14ac:dyDescent="0.25">
      <c r="A80" s="16" t="str">
        <f t="shared" si="3"/>
        <v/>
      </c>
      <c r="B80" s="16" t="str">
        <f t="shared" si="4"/>
        <v/>
      </c>
      <c r="C80" s="16" t="str">
        <f t="shared" si="5"/>
        <v/>
      </c>
    </row>
    <row r="81" spans="1:3" x14ac:dyDescent="0.25">
      <c r="A81" s="16" t="str">
        <f t="shared" si="3"/>
        <v/>
      </c>
      <c r="B81" s="16" t="str">
        <f t="shared" si="4"/>
        <v/>
      </c>
      <c r="C81" s="16" t="str">
        <f t="shared" si="5"/>
        <v/>
      </c>
    </row>
    <row r="82" spans="1:3" x14ac:dyDescent="0.25">
      <c r="A82" s="16" t="str">
        <f t="shared" si="3"/>
        <v/>
      </c>
      <c r="B82" s="16" t="str">
        <f t="shared" si="4"/>
        <v/>
      </c>
      <c r="C82" s="16" t="str">
        <f t="shared" si="5"/>
        <v/>
      </c>
    </row>
    <row r="83" spans="1:3" x14ac:dyDescent="0.25">
      <c r="A83" s="16" t="str">
        <f t="shared" si="3"/>
        <v/>
      </c>
      <c r="B83" s="16" t="str">
        <f t="shared" si="4"/>
        <v/>
      </c>
      <c r="C83" s="16" t="str">
        <f t="shared" si="5"/>
        <v/>
      </c>
    </row>
    <row r="84" spans="1:3" x14ac:dyDescent="0.25">
      <c r="A84" s="16" t="str">
        <f t="shared" si="3"/>
        <v/>
      </c>
      <c r="B84" s="16" t="str">
        <f t="shared" si="4"/>
        <v/>
      </c>
      <c r="C84" s="16" t="str">
        <f t="shared" si="5"/>
        <v/>
      </c>
    </row>
    <row r="85" spans="1:3" x14ac:dyDescent="0.25">
      <c r="A85" s="16" t="str">
        <f t="shared" si="3"/>
        <v/>
      </c>
      <c r="B85" s="16" t="str">
        <f t="shared" si="4"/>
        <v/>
      </c>
      <c r="C85" s="16" t="str">
        <f t="shared" si="5"/>
        <v/>
      </c>
    </row>
    <row r="86" spans="1:3" x14ac:dyDescent="0.25">
      <c r="A86" s="16" t="str">
        <f t="shared" si="3"/>
        <v/>
      </c>
      <c r="B86" s="16" t="str">
        <f t="shared" si="4"/>
        <v/>
      </c>
      <c r="C86" s="16" t="str">
        <f t="shared" si="5"/>
        <v/>
      </c>
    </row>
    <row r="87" spans="1:3" x14ac:dyDescent="0.25">
      <c r="A87" s="16" t="str">
        <f t="shared" si="3"/>
        <v/>
      </c>
      <c r="B87" s="16" t="str">
        <f t="shared" si="4"/>
        <v/>
      </c>
      <c r="C87" s="16" t="str">
        <f t="shared" si="5"/>
        <v/>
      </c>
    </row>
    <row r="88" spans="1:3" x14ac:dyDescent="0.25">
      <c r="A88" s="16" t="str">
        <f t="shared" si="3"/>
        <v/>
      </c>
      <c r="B88" s="16" t="str">
        <f t="shared" si="4"/>
        <v/>
      </c>
      <c r="C88" s="16" t="str">
        <f t="shared" si="5"/>
        <v/>
      </c>
    </row>
    <row r="89" spans="1:3" x14ac:dyDescent="0.25">
      <c r="A89" s="16" t="str">
        <f t="shared" si="3"/>
        <v/>
      </c>
      <c r="B89" s="16" t="str">
        <f t="shared" si="4"/>
        <v/>
      </c>
      <c r="C89" s="16" t="str">
        <f t="shared" si="5"/>
        <v/>
      </c>
    </row>
    <row r="90" spans="1:3" x14ac:dyDescent="0.25">
      <c r="A90" s="16" t="str">
        <f t="shared" si="3"/>
        <v/>
      </c>
      <c r="B90" s="16" t="str">
        <f t="shared" si="4"/>
        <v/>
      </c>
      <c r="C90" s="16" t="str">
        <f t="shared" si="5"/>
        <v/>
      </c>
    </row>
    <row r="91" spans="1:3" x14ac:dyDescent="0.25">
      <c r="A91" s="16" t="str">
        <f t="shared" si="3"/>
        <v/>
      </c>
      <c r="B91" s="16" t="str">
        <f t="shared" si="4"/>
        <v/>
      </c>
      <c r="C91" s="16" t="str">
        <f t="shared" si="5"/>
        <v/>
      </c>
    </row>
    <row r="92" spans="1:3" x14ac:dyDescent="0.25">
      <c r="A92" s="16" t="str">
        <f t="shared" si="3"/>
        <v/>
      </c>
      <c r="B92" s="16" t="str">
        <f t="shared" si="4"/>
        <v/>
      </c>
      <c r="C92" s="16" t="str">
        <f t="shared" si="5"/>
        <v/>
      </c>
    </row>
    <row r="93" spans="1:3" x14ac:dyDescent="0.25">
      <c r="A93" s="16" t="str">
        <f t="shared" si="3"/>
        <v/>
      </c>
      <c r="B93" s="16" t="str">
        <f t="shared" si="4"/>
        <v/>
      </c>
      <c r="C93" s="16" t="str">
        <f t="shared" si="5"/>
        <v/>
      </c>
    </row>
    <row r="94" spans="1:3" x14ac:dyDescent="0.25">
      <c r="A94" s="16" t="str">
        <f t="shared" si="3"/>
        <v/>
      </c>
      <c r="B94" s="16" t="str">
        <f t="shared" si="4"/>
        <v/>
      </c>
      <c r="C94" s="16" t="str">
        <f t="shared" si="5"/>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21"/>
  <sheetViews>
    <sheetView topLeftCell="A2" workbookViewId="0">
      <selection activeCell="E10" sqref="E10"/>
    </sheetView>
  </sheetViews>
  <sheetFormatPr defaultColWidth="8.85546875" defaultRowHeight="15" x14ac:dyDescent="0.25"/>
  <cols>
    <col min="1" max="2" width="15.28515625" customWidth="1"/>
  </cols>
  <sheetData>
    <row r="1" spans="1:16" x14ac:dyDescent="0.25">
      <c r="A1" t="s">
        <v>8</v>
      </c>
      <c r="E1" t="s">
        <v>61</v>
      </c>
    </row>
    <row r="2" spans="1:16" x14ac:dyDescent="0.25">
      <c r="E2" t="s">
        <v>57</v>
      </c>
    </row>
    <row r="3" spans="1:16" x14ac:dyDescent="0.25">
      <c r="A3" t="s">
        <v>10</v>
      </c>
      <c r="B3" t="s">
        <v>7</v>
      </c>
      <c r="E3" t="s">
        <v>60</v>
      </c>
    </row>
    <row r="4" spans="1:16" x14ac:dyDescent="0.25">
      <c r="A4" s="11" t="s">
        <v>12</v>
      </c>
      <c r="B4" s="9">
        <v>1000</v>
      </c>
      <c r="E4" t="s">
        <v>59</v>
      </c>
    </row>
    <row r="5" spans="1:16" ht="15.75" thickBot="1" x14ac:dyDescent="0.3">
      <c r="A5" s="11" t="s">
        <v>14</v>
      </c>
      <c r="B5" s="9">
        <v>0.05</v>
      </c>
      <c r="E5" t="s">
        <v>58</v>
      </c>
    </row>
    <row r="6" spans="1:16" x14ac:dyDescent="0.25">
      <c r="A6" s="11" t="s">
        <v>16</v>
      </c>
      <c r="B6" s="9">
        <v>0.06</v>
      </c>
      <c r="E6" s="32" t="s">
        <v>57</v>
      </c>
      <c r="F6" s="31"/>
      <c r="G6" s="31"/>
      <c r="H6" s="31"/>
      <c r="I6" s="31"/>
      <c r="J6" s="30"/>
      <c r="K6" s="30"/>
      <c r="L6" s="30"/>
      <c r="M6" s="30"/>
      <c r="N6" s="30"/>
      <c r="O6" s="30"/>
      <c r="P6" s="29"/>
    </row>
    <row r="7" spans="1:16" x14ac:dyDescent="0.25">
      <c r="A7" s="11" t="s">
        <v>18</v>
      </c>
      <c r="B7" s="9">
        <v>5</v>
      </c>
      <c r="E7" s="28" t="s">
        <v>56</v>
      </c>
      <c r="F7" s="7"/>
      <c r="P7" s="26"/>
    </row>
    <row r="8" spans="1:16" ht="17.25" x14ac:dyDescent="0.25">
      <c r="E8" s="27" t="s">
        <v>15</v>
      </c>
      <c r="P8" s="26"/>
    </row>
    <row r="9" spans="1:16" ht="17.25" x14ac:dyDescent="0.25">
      <c r="E9" s="27" t="s">
        <v>55</v>
      </c>
      <c r="P9" s="26"/>
    </row>
    <row r="10" spans="1:16" x14ac:dyDescent="0.25">
      <c r="A10" t="s">
        <v>26</v>
      </c>
      <c r="B10" s="10">
        <f>-PV(B6/2,B7*2,B5*B4/2,B4)</f>
        <v>957.34898581612094</v>
      </c>
      <c r="E10" s="28" t="s">
        <v>54</v>
      </c>
      <c r="F10" s="7"/>
      <c r="G10" s="7"/>
      <c r="H10" s="7"/>
      <c r="I10" s="7"/>
      <c r="P10" s="26"/>
    </row>
    <row r="11" spans="1:16" x14ac:dyDescent="0.25">
      <c r="E11" s="27" t="s">
        <v>53</v>
      </c>
      <c r="P11" s="26"/>
    </row>
    <row r="12" spans="1:16" x14ac:dyDescent="0.25">
      <c r="E12" s="27" t="s">
        <v>52</v>
      </c>
      <c r="P12" s="26"/>
    </row>
    <row r="13" spans="1:16" ht="17.25" x14ac:dyDescent="0.25">
      <c r="A13" s="7" t="s">
        <v>19</v>
      </c>
      <c r="E13" s="27" t="s">
        <v>15</v>
      </c>
      <c r="P13" s="26"/>
    </row>
    <row r="14" spans="1:16" ht="17.25" x14ac:dyDescent="0.25">
      <c r="E14" s="27" t="s">
        <v>51</v>
      </c>
      <c r="O14" t="s">
        <v>50</v>
      </c>
      <c r="P14" s="26"/>
    </row>
    <row r="15" spans="1:16" ht="17.25" x14ac:dyDescent="0.25">
      <c r="A15" t="s">
        <v>49</v>
      </c>
      <c r="E15" s="27" t="s">
        <v>48</v>
      </c>
      <c r="O15" t="s">
        <v>47</v>
      </c>
      <c r="P15" s="26"/>
    </row>
    <row r="16" spans="1:16" x14ac:dyDescent="0.25">
      <c r="A16" t="s">
        <v>46</v>
      </c>
      <c r="E16" s="28" t="s">
        <v>45</v>
      </c>
      <c r="F16" s="7"/>
      <c r="G16" s="7"/>
      <c r="H16" s="7"/>
      <c r="I16" s="7"/>
      <c r="P16" s="26"/>
    </row>
    <row r="17" spans="1:16" x14ac:dyDescent="0.25">
      <c r="E17" s="27" t="s">
        <v>44</v>
      </c>
      <c r="P17" s="26"/>
    </row>
    <row r="18" spans="1:16" x14ac:dyDescent="0.25">
      <c r="A18" t="s">
        <v>43</v>
      </c>
      <c r="E18" s="27" t="s">
        <v>42</v>
      </c>
      <c r="P18" s="26"/>
    </row>
    <row r="19" spans="1:16" ht="17.25" x14ac:dyDescent="0.25">
      <c r="A19" t="s">
        <v>41</v>
      </c>
      <c r="E19" s="27" t="s">
        <v>15</v>
      </c>
      <c r="P19" s="26"/>
    </row>
    <row r="20" spans="1:16" ht="17.25" x14ac:dyDescent="0.25">
      <c r="E20" s="27" t="s">
        <v>40</v>
      </c>
      <c r="O20" t="s">
        <v>39</v>
      </c>
      <c r="P20" s="26"/>
    </row>
    <row r="21" spans="1:16" ht="18" thickBot="1" x14ac:dyDescent="0.3">
      <c r="E21" s="25" t="s">
        <v>38</v>
      </c>
      <c r="F21" s="24"/>
      <c r="G21" s="24"/>
      <c r="H21" s="24"/>
      <c r="I21" s="24"/>
      <c r="J21" s="24"/>
      <c r="K21" s="24"/>
      <c r="L21" s="24"/>
      <c r="M21" s="24"/>
      <c r="N21" s="24"/>
      <c r="O21" s="24" t="s">
        <v>37</v>
      </c>
      <c r="P21" s="2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94"/>
  <sheetViews>
    <sheetView zoomScale="130" zoomScaleNormal="130" workbookViewId="0">
      <selection activeCell="G12" sqref="G12"/>
    </sheetView>
  </sheetViews>
  <sheetFormatPr defaultColWidth="8.85546875" defaultRowHeight="15" x14ac:dyDescent="0.25"/>
  <cols>
    <col min="1" max="1" width="21.85546875" customWidth="1"/>
    <col min="3" max="3" width="14.42578125" bestFit="1" customWidth="1"/>
    <col min="4" max="4" width="9.28515625" customWidth="1"/>
    <col min="5" max="5" width="15" customWidth="1"/>
    <col min="12" max="12" width="13.5703125" customWidth="1"/>
  </cols>
  <sheetData>
    <row r="1" spans="1:14" x14ac:dyDescent="0.25">
      <c r="A1" t="s">
        <v>8</v>
      </c>
    </row>
    <row r="2" spans="1:14" x14ac:dyDescent="0.25">
      <c r="E2" t="s">
        <v>9</v>
      </c>
    </row>
    <row r="3" spans="1:14" x14ac:dyDescent="0.25">
      <c r="A3" t="s">
        <v>10</v>
      </c>
      <c r="B3" t="s">
        <v>7</v>
      </c>
    </row>
    <row r="4" spans="1:14" ht="17.25" x14ac:dyDescent="0.25">
      <c r="A4" s="11" t="s">
        <v>12</v>
      </c>
      <c r="B4" s="9">
        <v>1000</v>
      </c>
      <c r="E4" t="s">
        <v>15</v>
      </c>
    </row>
    <row r="5" spans="1:14" x14ac:dyDescent="0.25">
      <c r="A5" s="11" t="s">
        <v>14</v>
      </c>
      <c r="B5" s="140">
        <v>0.05</v>
      </c>
      <c r="E5" t="s">
        <v>68</v>
      </c>
    </row>
    <row r="6" spans="1:14" x14ac:dyDescent="0.25">
      <c r="A6" s="11" t="s">
        <v>16</v>
      </c>
      <c r="B6" s="140">
        <v>0.06</v>
      </c>
    </row>
    <row r="7" spans="1:14" ht="15.75" thickBot="1" x14ac:dyDescent="0.3">
      <c r="A7" s="42" t="s">
        <v>18</v>
      </c>
      <c r="B7" s="41">
        <v>5</v>
      </c>
      <c r="C7" s="144" t="s">
        <v>7</v>
      </c>
    </row>
    <row r="8" spans="1:14" ht="15.75" thickBot="1" x14ac:dyDescent="0.3">
      <c r="A8" s="40" t="s">
        <v>67</v>
      </c>
      <c r="B8" s="39">
        <v>957.34898581612094</v>
      </c>
      <c r="C8" t="s">
        <v>150</v>
      </c>
    </row>
    <row r="9" spans="1:14" ht="15.75" thickBot="1" x14ac:dyDescent="0.3">
      <c r="A9" s="7" t="s">
        <v>36</v>
      </c>
      <c r="B9" t="s">
        <v>35</v>
      </c>
      <c r="C9" t="s">
        <v>34</v>
      </c>
      <c r="E9" t="s">
        <v>33</v>
      </c>
      <c r="I9" s="22" t="s">
        <v>66</v>
      </c>
      <c r="K9" s="7"/>
      <c r="L9" s="7" t="s">
        <v>65</v>
      </c>
      <c r="M9" s="7"/>
      <c r="N9" s="7"/>
    </row>
    <row r="10" spans="1:14" ht="30.75" thickBot="1" x14ac:dyDescent="0.3">
      <c r="A10" s="11">
        <v>0</v>
      </c>
      <c r="B10" s="38"/>
      <c r="C10" s="38"/>
      <c r="E10" s="37">
        <f>SUM(C11:C94 )</f>
        <v>957.34898581612094</v>
      </c>
      <c r="H10" s="15" t="s">
        <v>64</v>
      </c>
      <c r="I10" s="36">
        <f>RATE(B7*2,B4*B5/2,-B8,B4)</f>
        <v>3.0000000000550336E-2</v>
      </c>
      <c r="K10" t="s">
        <v>63</v>
      </c>
      <c r="L10" s="33" t="str">
        <f>IF(I11=B5,"Priced at Par", IF(I11&lt;B5,"Premium","Discount"))</f>
        <v>Discount</v>
      </c>
    </row>
    <row r="11" spans="1:14" ht="15.75" thickBot="1" x14ac:dyDescent="0.3">
      <c r="A11" s="16">
        <f>IFERROR(IF($B$7*2&gt;=A10+1,A10+1,""),"")</f>
        <v>1</v>
      </c>
      <c r="B11" s="16">
        <f>IF(A11&lt;$B$7*2,B$4*B$5/2, IF(B$7*2=A11,(B$4*B$5)/2+B$4,""))</f>
        <v>25</v>
      </c>
      <c r="C11" s="16">
        <f>IF(B11&lt;&gt;"",B11/(1+B$6/2)^A11,"")</f>
        <v>24.271844660194173</v>
      </c>
      <c r="E11" t="s">
        <v>7</v>
      </c>
      <c r="H11" s="35" t="s">
        <v>62</v>
      </c>
      <c r="I11" s="34">
        <f>I10*2</f>
        <v>6.0000000001100673E-2</v>
      </c>
      <c r="K11" t="s">
        <v>62</v>
      </c>
      <c r="L11" s="33" t="str">
        <f>IF(B8=1000,"YTM=Coupon",IF(B8&lt;1000,"YTM&lt;Coupon","YTM&gt;Coupon"))</f>
        <v>YTM&lt;Coupon</v>
      </c>
    </row>
    <row r="12" spans="1:14" x14ac:dyDescent="0.25">
      <c r="A12" s="16">
        <f t="shared" ref="A12:A75" si="0">IFERROR(IF($B$7*2&gt;=A11+1,A11+1,""),"")</f>
        <v>2</v>
      </c>
      <c r="B12" s="16">
        <f t="shared" ref="B12:B75" si="1">IF(A12&lt;$B$7*2,B$4*B$5/2, IF(B$7*2=A12,(B$4*B$5)/2+B$4,""))</f>
        <v>25</v>
      </c>
      <c r="C12" s="16">
        <f t="shared" ref="C12:C75" si="2">IF(B12&lt;&gt;"",B12/(1+B$6/2)^A12,"")</f>
        <v>23.564897728343858</v>
      </c>
      <c r="H12" s="13" t="s">
        <v>7</v>
      </c>
    </row>
    <row r="13" spans="1:14" x14ac:dyDescent="0.25">
      <c r="A13" s="16">
        <f t="shared" si="0"/>
        <v>3</v>
      </c>
      <c r="B13" s="16">
        <f t="shared" si="1"/>
        <v>25</v>
      </c>
      <c r="C13" s="16">
        <f t="shared" si="2"/>
        <v>22.87854148382899</v>
      </c>
    </row>
    <row r="14" spans="1:14" x14ac:dyDescent="0.25">
      <c r="A14" s="16">
        <f t="shared" si="0"/>
        <v>4</v>
      </c>
      <c r="B14" s="16">
        <f t="shared" si="1"/>
        <v>25</v>
      </c>
      <c r="C14" s="16">
        <f t="shared" si="2"/>
        <v>22.212176197892223</v>
      </c>
    </row>
    <row r="15" spans="1:14" x14ac:dyDescent="0.25">
      <c r="A15" s="16">
        <f t="shared" si="0"/>
        <v>5</v>
      </c>
      <c r="B15" s="16">
        <f t="shared" si="1"/>
        <v>25</v>
      </c>
      <c r="C15" s="16">
        <f t="shared" si="2"/>
        <v>21.565219609604103</v>
      </c>
    </row>
    <row r="16" spans="1:14" x14ac:dyDescent="0.25">
      <c r="A16" s="16">
        <f t="shared" si="0"/>
        <v>6</v>
      </c>
      <c r="B16" s="16">
        <f t="shared" si="1"/>
        <v>25</v>
      </c>
      <c r="C16" s="16">
        <f t="shared" si="2"/>
        <v>20.937106417091361</v>
      </c>
    </row>
    <row r="17" spans="1:3" x14ac:dyDescent="0.25">
      <c r="A17" s="16">
        <f t="shared" si="0"/>
        <v>7</v>
      </c>
      <c r="B17" s="16">
        <f t="shared" si="1"/>
        <v>25</v>
      </c>
      <c r="C17" s="16">
        <f t="shared" si="2"/>
        <v>20.327287783583845</v>
      </c>
    </row>
    <row r="18" spans="1:3" x14ac:dyDescent="0.25">
      <c r="A18" s="16">
        <f t="shared" si="0"/>
        <v>8</v>
      </c>
      <c r="B18" s="16">
        <f t="shared" si="1"/>
        <v>25</v>
      </c>
      <c r="C18" s="16">
        <f t="shared" si="2"/>
        <v>19.735230857848393</v>
      </c>
    </row>
    <row r="19" spans="1:3" x14ac:dyDescent="0.25">
      <c r="A19" s="16">
        <f t="shared" si="0"/>
        <v>9</v>
      </c>
      <c r="B19" s="16">
        <f t="shared" si="1"/>
        <v>25</v>
      </c>
      <c r="C19" s="16">
        <f t="shared" si="2"/>
        <v>19.160418308590675</v>
      </c>
    </row>
    <row r="20" spans="1:3" x14ac:dyDescent="0.25">
      <c r="A20" s="16">
        <f t="shared" si="0"/>
        <v>10</v>
      </c>
      <c r="B20" s="16">
        <f t="shared" si="1"/>
        <v>1025</v>
      </c>
      <c r="C20" s="16">
        <f t="shared" si="2"/>
        <v>762.69626276914335</v>
      </c>
    </row>
    <row r="21" spans="1:3" x14ac:dyDescent="0.25">
      <c r="A21" s="16" t="str">
        <f t="shared" si="0"/>
        <v/>
      </c>
      <c r="B21" s="16" t="str">
        <f t="shared" si="1"/>
        <v/>
      </c>
      <c r="C21" s="16" t="str">
        <f t="shared" si="2"/>
        <v/>
      </c>
    </row>
    <row r="22" spans="1:3" x14ac:dyDescent="0.25">
      <c r="A22" s="16" t="str">
        <f t="shared" si="0"/>
        <v/>
      </c>
      <c r="B22" s="16" t="str">
        <f t="shared" si="1"/>
        <v/>
      </c>
      <c r="C22" s="16" t="str">
        <f t="shared" si="2"/>
        <v/>
      </c>
    </row>
    <row r="23" spans="1:3" x14ac:dyDescent="0.25">
      <c r="A23" s="16" t="str">
        <f t="shared" si="0"/>
        <v/>
      </c>
      <c r="B23" s="16" t="str">
        <f t="shared" si="1"/>
        <v/>
      </c>
      <c r="C23" s="16" t="str">
        <f t="shared" si="2"/>
        <v/>
      </c>
    </row>
    <row r="24" spans="1:3" x14ac:dyDescent="0.25">
      <c r="A24" s="16" t="str">
        <f t="shared" si="0"/>
        <v/>
      </c>
      <c r="B24" s="16" t="str">
        <f t="shared" si="1"/>
        <v/>
      </c>
      <c r="C24" s="16" t="str">
        <f t="shared" si="2"/>
        <v/>
      </c>
    </row>
    <row r="25" spans="1:3" x14ac:dyDescent="0.25">
      <c r="A25" s="16" t="str">
        <f t="shared" si="0"/>
        <v/>
      </c>
      <c r="B25" s="16" t="str">
        <f t="shared" si="1"/>
        <v/>
      </c>
      <c r="C25" s="16" t="str">
        <f t="shared" si="2"/>
        <v/>
      </c>
    </row>
    <row r="26" spans="1:3" x14ac:dyDescent="0.25">
      <c r="A26" s="16" t="str">
        <f t="shared" si="0"/>
        <v/>
      </c>
      <c r="B26" s="16" t="str">
        <f t="shared" si="1"/>
        <v/>
      </c>
      <c r="C26" s="16" t="str">
        <f t="shared" si="2"/>
        <v/>
      </c>
    </row>
    <row r="27" spans="1:3" x14ac:dyDescent="0.25">
      <c r="A27" s="16" t="str">
        <f t="shared" si="0"/>
        <v/>
      </c>
      <c r="B27" s="16" t="str">
        <f t="shared" si="1"/>
        <v/>
      </c>
      <c r="C27" s="16" t="str">
        <f t="shared" si="2"/>
        <v/>
      </c>
    </row>
    <row r="28" spans="1:3" x14ac:dyDescent="0.25">
      <c r="A28" s="16" t="str">
        <f t="shared" si="0"/>
        <v/>
      </c>
      <c r="B28" s="16" t="str">
        <f t="shared" si="1"/>
        <v/>
      </c>
      <c r="C28" s="16" t="str">
        <f t="shared" si="2"/>
        <v/>
      </c>
    </row>
    <row r="29" spans="1:3" x14ac:dyDescent="0.25">
      <c r="A29" s="16" t="str">
        <f t="shared" si="0"/>
        <v/>
      </c>
      <c r="B29" s="16" t="str">
        <f t="shared" si="1"/>
        <v/>
      </c>
      <c r="C29" s="16" t="str">
        <f t="shared" si="2"/>
        <v/>
      </c>
    </row>
    <row r="30" spans="1:3" x14ac:dyDescent="0.25">
      <c r="A30" s="16" t="str">
        <f t="shared" si="0"/>
        <v/>
      </c>
      <c r="B30" s="16" t="str">
        <f t="shared" si="1"/>
        <v/>
      </c>
      <c r="C30" s="16" t="str">
        <f t="shared" si="2"/>
        <v/>
      </c>
    </row>
    <row r="31" spans="1:3" x14ac:dyDescent="0.25">
      <c r="A31" s="16" t="str">
        <f t="shared" si="0"/>
        <v/>
      </c>
      <c r="B31" s="16" t="str">
        <f t="shared" si="1"/>
        <v/>
      </c>
      <c r="C31" s="16" t="str">
        <f t="shared" si="2"/>
        <v/>
      </c>
    </row>
    <row r="32" spans="1:3" x14ac:dyDescent="0.25">
      <c r="A32" s="16" t="str">
        <f t="shared" si="0"/>
        <v/>
      </c>
      <c r="B32" s="16" t="str">
        <f t="shared" si="1"/>
        <v/>
      </c>
      <c r="C32" s="16" t="str">
        <f t="shared" si="2"/>
        <v/>
      </c>
    </row>
    <row r="33" spans="1:3" x14ac:dyDescent="0.25">
      <c r="A33" s="16" t="str">
        <f t="shared" si="0"/>
        <v/>
      </c>
      <c r="B33" s="16" t="str">
        <f t="shared" si="1"/>
        <v/>
      </c>
      <c r="C33" s="16" t="str">
        <f t="shared" si="2"/>
        <v/>
      </c>
    </row>
    <row r="34" spans="1:3" x14ac:dyDescent="0.25">
      <c r="A34" s="16" t="str">
        <f t="shared" si="0"/>
        <v/>
      </c>
      <c r="B34" s="16" t="str">
        <f t="shared" si="1"/>
        <v/>
      </c>
      <c r="C34" s="16" t="str">
        <f t="shared" si="2"/>
        <v/>
      </c>
    </row>
    <row r="35" spans="1:3" x14ac:dyDescent="0.25">
      <c r="A35" s="16" t="str">
        <f t="shared" si="0"/>
        <v/>
      </c>
      <c r="B35" s="16" t="str">
        <f t="shared" si="1"/>
        <v/>
      </c>
      <c r="C35" s="16" t="str">
        <f t="shared" si="2"/>
        <v/>
      </c>
    </row>
    <row r="36" spans="1:3" x14ac:dyDescent="0.25">
      <c r="A36" s="16" t="str">
        <f t="shared" si="0"/>
        <v/>
      </c>
      <c r="B36" s="16" t="str">
        <f t="shared" si="1"/>
        <v/>
      </c>
      <c r="C36" s="16" t="str">
        <f t="shared" si="2"/>
        <v/>
      </c>
    </row>
    <row r="37" spans="1:3" x14ac:dyDescent="0.25">
      <c r="A37" s="16" t="str">
        <f t="shared" si="0"/>
        <v/>
      </c>
      <c r="B37" s="16" t="str">
        <f t="shared" si="1"/>
        <v/>
      </c>
      <c r="C37" s="16" t="str">
        <f t="shared" si="2"/>
        <v/>
      </c>
    </row>
    <row r="38" spans="1:3" x14ac:dyDescent="0.25">
      <c r="A38" s="16" t="str">
        <f t="shared" si="0"/>
        <v/>
      </c>
      <c r="B38" s="16" t="str">
        <f t="shared" si="1"/>
        <v/>
      </c>
      <c r="C38" s="16" t="str">
        <f t="shared" si="2"/>
        <v/>
      </c>
    </row>
    <row r="39" spans="1:3" x14ac:dyDescent="0.25">
      <c r="A39" s="16" t="str">
        <f t="shared" si="0"/>
        <v/>
      </c>
      <c r="B39" s="16" t="str">
        <f t="shared" si="1"/>
        <v/>
      </c>
      <c r="C39" s="16" t="str">
        <f t="shared" si="2"/>
        <v/>
      </c>
    </row>
    <row r="40" spans="1:3" x14ac:dyDescent="0.25">
      <c r="A40" s="16" t="str">
        <f t="shared" si="0"/>
        <v/>
      </c>
      <c r="B40" s="16" t="str">
        <f t="shared" si="1"/>
        <v/>
      </c>
      <c r="C40" s="16" t="str">
        <f t="shared" si="2"/>
        <v/>
      </c>
    </row>
    <row r="41" spans="1:3" x14ac:dyDescent="0.25">
      <c r="A41" s="16" t="str">
        <f t="shared" si="0"/>
        <v/>
      </c>
      <c r="B41" s="16" t="str">
        <f t="shared" si="1"/>
        <v/>
      </c>
      <c r="C41" s="16" t="str">
        <f t="shared" si="2"/>
        <v/>
      </c>
    </row>
    <row r="42" spans="1:3" x14ac:dyDescent="0.25">
      <c r="A42" s="16" t="str">
        <f t="shared" si="0"/>
        <v/>
      </c>
      <c r="B42" s="16" t="str">
        <f t="shared" si="1"/>
        <v/>
      </c>
      <c r="C42" s="16" t="str">
        <f t="shared" si="2"/>
        <v/>
      </c>
    </row>
    <row r="43" spans="1:3" x14ac:dyDescent="0.25">
      <c r="A43" s="16" t="str">
        <f t="shared" si="0"/>
        <v/>
      </c>
      <c r="B43" s="16" t="str">
        <f t="shared" si="1"/>
        <v/>
      </c>
      <c r="C43" s="16" t="str">
        <f t="shared" si="2"/>
        <v/>
      </c>
    </row>
    <row r="44" spans="1:3" x14ac:dyDescent="0.25">
      <c r="A44" s="16" t="str">
        <f t="shared" si="0"/>
        <v/>
      </c>
      <c r="B44" s="16" t="str">
        <f t="shared" si="1"/>
        <v/>
      </c>
      <c r="C44" s="16" t="str">
        <f t="shared" si="2"/>
        <v/>
      </c>
    </row>
    <row r="45" spans="1:3" x14ac:dyDescent="0.25">
      <c r="A45" s="16" t="str">
        <f t="shared" si="0"/>
        <v/>
      </c>
      <c r="B45" s="16" t="str">
        <f t="shared" si="1"/>
        <v/>
      </c>
      <c r="C45" s="16" t="str">
        <f t="shared" si="2"/>
        <v/>
      </c>
    </row>
    <row r="46" spans="1:3" x14ac:dyDescent="0.25">
      <c r="A46" s="16" t="str">
        <f t="shared" si="0"/>
        <v/>
      </c>
      <c r="B46" s="16" t="str">
        <f t="shared" si="1"/>
        <v/>
      </c>
      <c r="C46" s="16" t="str">
        <f t="shared" si="2"/>
        <v/>
      </c>
    </row>
    <row r="47" spans="1:3" x14ac:dyDescent="0.25">
      <c r="A47" s="16" t="str">
        <f t="shared" si="0"/>
        <v/>
      </c>
      <c r="B47" s="16" t="str">
        <f t="shared" si="1"/>
        <v/>
      </c>
      <c r="C47" s="16" t="str">
        <f t="shared" si="2"/>
        <v/>
      </c>
    </row>
    <row r="48" spans="1:3" x14ac:dyDescent="0.25">
      <c r="A48" s="16" t="str">
        <f t="shared" si="0"/>
        <v/>
      </c>
      <c r="B48" s="16" t="str">
        <f t="shared" si="1"/>
        <v/>
      </c>
      <c r="C48" s="16" t="str">
        <f t="shared" si="2"/>
        <v/>
      </c>
    </row>
    <row r="49" spans="1:3" x14ac:dyDescent="0.25">
      <c r="A49" s="16" t="str">
        <f t="shared" si="0"/>
        <v/>
      </c>
      <c r="B49" s="16" t="str">
        <f t="shared" si="1"/>
        <v/>
      </c>
      <c r="C49" s="16" t="str">
        <f t="shared" si="2"/>
        <v/>
      </c>
    </row>
    <row r="50" spans="1:3" x14ac:dyDescent="0.25">
      <c r="A50" s="16" t="str">
        <f t="shared" si="0"/>
        <v/>
      </c>
      <c r="B50" s="16" t="str">
        <f t="shared" si="1"/>
        <v/>
      </c>
      <c r="C50" s="16" t="str">
        <f t="shared" si="2"/>
        <v/>
      </c>
    </row>
    <row r="51" spans="1:3" x14ac:dyDescent="0.25">
      <c r="A51" s="16" t="str">
        <f t="shared" si="0"/>
        <v/>
      </c>
      <c r="B51" s="16" t="str">
        <f t="shared" si="1"/>
        <v/>
      </c>
      <c r="C51" s="16" t="str">
        <f t="shared" si="2"/>
        <v/>
      </c>
    </row>
    <row r="52" spans="1:3" x14ac:dyDescent="0.25">
      <c r="A52" s="16" t="str">
        <f t="shared" si="0"/>
        <v/>
      </c>
      <c r="B52" s="16" t="str">
        <f t="shared" si="1"/>
        <v/>
      </c>
      <c r="C52" s="16" t="str">
        <f t="shared" si="2"/>
        <v/>
      </c>
    </row>
    <row r="53" spans="1:3" x14ac:dyDescent="0.25">
      <c r="A53" s="16" t="str">
        <f t="shared" si="0"/>
        <v/>
      </c>
      <c r="B53" s="16" t="str">
        <f t="shared" si="1"/>
        <v/>
      </c>
      <c r="C53" s="16" t="str">
        <f t="shared" si="2"/>
        <v/>
      </c>
    </row>
    <row r="54" spans="1:3" x14ac:dyDescent="0.25">
      <c r="A54" s="16" t="str">
        <f t="shared" si="0"/>
        <v/>
      </c>
      <c r="B54" s="16" t="str">
        <f t="shared" si="1"/>
        <v/>
      </c>
      <c r="C54" s="16" t="str">
        <f t="shared" si="2"/>
        <v/>
      </c>
    </row>
    <row r="55" spans="1:3" x14ac:dyDescent="0.25">
      <c r="A55" s="16" t="str">
        <f t="shared" si="0"/>
        <v/>
      </c>
      <c r="B55" s="16" t="str">
        <f t="shared" si="1"/>
        <v/>
      </c>
      <c r="C55" s="16" t="str">
        <f t="shared" si="2"/>
        <v/>
      </c>
    </row>
    <row r="56" spans="1:3" x14ac:dyDescent="0.25">
      <c r="A56" s="16" t="str">
        <f t="shared" si="0"/>
        <v/>
      </c>
      <c r="B56" s="16" t="str">
        <f t="shared" si="1"/>
        <v/>
      </c>
      <c r="C56" s="16" t="str">
        <f t="shared" si="2"/>
        <v/>
      </c>
    </row>
    <row r="57" spans="1:3" x14ac:dyDescent="0.25">
      <c r="A57" s="16" t="str">
        <f t="shared" si="0"/>
        <v/>
      </c>
      <c r="B57" s="16" t="str">
        <f t="shared" si="1"/>
        <v/>
      </c>
      <c r="C57" s="16" t="str">
        <f t="shared" si="2"/>
        <v/>
      </c>
    </row>
    <row r="58" spans="1:3" x14ac:dyDescent="0.25">
      <c r="A58" s="16" t="str">
        <f t="shared" si="0"/>
        <v/>
      </c>
      <c r="B58" s="16" t="str">
        <f t="shared" si="1"/>
        <v/>
      </c>
      <c r="C58" s="16" t="str">
        <f t="shared" si="2"/>
        <v/>
      </c>
    </row>
    <row r="59" spans="1:3" x14ac:dyDescent="0.25">
      <c r="A59" s="16" t="str">
        <f t="shared" si="0"/>
        <v/>
      </c>
      <c r="B59" s="16" t="str">
        <f t="shared" si="1"/>
        <v/>
      </c>
      <c r="C59" s="16" t="str">
        <f t="shared" si="2"/>
        <v/>
      </c>
    </row>
    <row r="60" spans="1:3" x14ac:dyDescent="0.25">
      <c r="A60" s="16" t="str">
        <f t="shared" si="0"/>
        <v/>
      </c>
      <c r="B60" s="16" t="str">
        <f t="shared" si="1"/>
        <v/>
      </c>
      <c r="C60" s="16" t="str">
        <f t="shared" si="2"/>
        <v/>
      </c>
    </row>
    <row r="61" spans="1:3" x14ac:dyDescent="0.25">
      <c r="A61" s="16" t="str">
        <f t="shared" si="0"/>
        <v/>
      </c>
      <c r="B61" s="16" t="str">
        <f t="shared" si="1"/>
        <v/>
      </c>
      <c r="C61" s="16" t="str">
        <f t="shared" si="2"/>
        <v/>
      </c>
    </row>
    <row r="62" spans="1:3" x14ac:dyDescent="0.25">
      <c r="A62" s="16" t="str">
        <f t="shared" si="0"/>
        <v/>
      </c>
      <c r="B62" s="16" t="str">
        <f t="shared" si="1"/>
        <v/>
      </c>
      <c r="C62" s="16" t="str">
        <f t="shared" si="2"/>
        <v/>
      </c>
    </row>
    <row r="63" spans="1:3" x14ac:dyDescent="0.25">
      <c r="A63" s="16" t="str">
        <f t="shared" si="0"/>
        <v/>
      </c>
      <c r="B63" s="16" t="str">
        <f t="shared" si="1"/>
        <v/>
      </c>
      <c r="C63" s="16" t="str">
        <f t="shared" si="2"/>
        <v/>
      </c>
    </row>
    <row r="64" spans="1:3" x14ac:dyDescent="0.25">
      <c r="A64" s="16" t="str">
        <f t="shared" si="0"/>
        <v/>
      </c>
      <c r="B64" s="16" t="str">
        <f t="shared" si="1"/>
        <v/>
      </c>
      <c r="C64" s="16" t="str">
        <f t="shared" si="2"/>
        <v/>
      </c>
    </row>
    <row r="65" spans="1:3" x14ac:dyDescent="0.25">
      <c r="A65" s="16" t="str">
        <f t="shared" si="0"/>
        <v/>
      </c>
      <c r="B65" s="16" t="str">
        <f t="shared" si="1"/>
        <v/>
      </c>
      <c r="C65" s="16" t="str">
        <f t="shared" si="2"/>
        <v/>
      </c>
    </row>
    <row r="66" spans="1:3" x14ac:dyDescent="0.25">
      <c r="A66" s="16" t="str">
        <f t="shared" si="0"/>
        <v/>
      </c>
      <c r="B66" s="16" t="str">
        <f t="shared" si="1"/>
        <v/>
      </c>
      <c r="C66" s="16" t="str">
        <f t="shared" si="2"/>
        <v/>
      </c>
    </row>
    <row r="67" spans="1:3" x14ac:dyDescent="0.25">
      <c r="A67" s="16" t="str">
        <f t="shared" si="0"/>
        <v/>
      </c>
      <c r="B67" s="16" t="str">
        <f t="shared" si="1"/>
        <v/>
      </c>
      <c r="C67" s="16" t="str">
        <f t="shared" si="2"/>
        <v/>
      </c>
    </row>
    <row r="68" spans="1:3" x14ac:dyDescent="0.25">
      <c r="A68" s="16" t="str">
        <f t="shared" si="0"/>
        <v/>
      </c>
      <c r="B68" s="16" t="str">
        <f t="shared" si="1"/>
        <v/>
      </c>
      <c r="C68" s="16" t="str">
        <f t="shared" si="2"/>
        <v/>
      </c>
    </row>
    <row r="69" spans="1:3" x14ac:dyDescent="0.25">
      <c r="A69" s="16" t="str">
        <f t="shared" si="0"/>
        <v/>
      </c>
      <c r="B69" s="16" t="str">
        <f t="shared" si="1"/>
        <v/>
      </c>
      <c r="C69" s="16" t="str">
        <f t="shared" si="2"/>
        <v/>
      </c>
    </row>
    <row r="70" spans="1:3" x14ac:dyDescent="0.25">
      <c r="A70" s="16" t="str">
        <f t="shared" si="0"/>
        <v/>
      </c>
      <c r="B70" s="16" t="str">
        <f t="shared" si="1"/>
        <v/>
      </c>
      <c r="C70" s="16" t="str">
        <f t="shared" si="2"/>
        <v/>
      </c>
    </row>
    <row r="71" spans="1:3" x14ac:dyDescent="0.25">
      <c r="A71" s="16" t="str">
        <f t="shared" si="0"/>
        <v/>
      </c>
      <c r="B71" s="16" t="str">
        <f t="shared" si="1"/>
        <v/>
      </c>
      <c r="C71" s="16" t="str">
        <f t="shared" si="2"/>
        <v/>
      </c>
    </row>
    <row r="72" spans="1:3" x14ac:dyDescent="0.25">
      <c r="A72" s="16" t="str">
        <f t="shared" si="0"/>
        <v/>
      </c>
      <c r="B72" s="16" t="str">
        <f t="shared" si="1"/>
        <v/>
      </c>
      <c r="C72" s="16" t="str">
        <f t="shared" si="2"/>
        <v/>
      </c>
    </row>
    <row r="73" spans="1:3" x14ac:dyDescent="0.25">
      <c r="A73" s="16" t="str">
        <f t="shared" si="0"/>
        <v/>
      </c>
      <c r="B73" s="16" t="str">
        <f t="shared" si="1"/>
        <v/>
      </c>
      <c r="C73" s="16" t="str">
        <f t="shared" si="2"/>
        <v/>
      </c>
    </row>
    <row r="74" spans="1:3" x14ac:dyDescent="0.25">
      <c r="A74" s="16" t="str">
        <f t="shared" si="0"/>
        <v/>
      </c>
      <c r="B74" s="16" t="str">
        <f t="shared" si="1"/>
        <v/>
      </c>
      <c r="C74" s="16" t="str">
        <f t="shared" si="2"/>
        <v/>
      </c>
    </row>
    <row r="75" spans="1:3" x14ac:dyDescent="0.25">
      <c r="A75" s="16" t="str">
        <f t="shared" si="0"/>
        <v/>
      </c>
      <c r="B75" s="16" t="str">
        <f t="shared" si="1"/>
        <v/>
      </c>
      <c r="C75" s="16" t="str">
        <f t="shared" si="2"/>
        <v/>
      </c>
    </row>
    <row r="76" spans="1:3" x14ac:dyDescent="0.25">
      <c r="A76" s="16" t="str">
        <f t="shared" ref="A76:A94" si="3">IFERROR(IF($B$7*2&gt;=A75+1,A75+1,""),"")</f>
        <v/>
      </c>
      <c r="B76" s="16" t="str">
        <f t="shared" ref="B76:B94" si="4">IF(A76&lt;$B$7*2,B$4*B$5/2, IF(B$7*2=A76,(B$4*B$5)/2+B$4,""))</f>
        <v/>
      </c>
      <c r="C76" s="16" t="str">
        <f t="shared" ref="C76:C94" si="5">IF(B76&lt;&gt;"",B76/(1+B$6/2)^A76,"")</f>
        <v/>
      </c>
    </row>
    <row r="77" spans="1:3" x14ac:dyDescent="0.25">
      <c r="A77" s="16" t="str">
        <f t="shared" si="3"/>
        <v/>
      </c>
      <c r="B77" s="16" t="str">
        <f t="shared" si="4"/>
        <v/>
      </c>
      <c r="C77" s="16" t="str">
        <f t="shared" si="5"/>
        <v/>
      </c>
    </row>
    <row r="78" spans="1:3" x14ac:dyDescent="0.25">
      <c r="A78" s="16" t="str">
        <f t="shared" si="3"/>
        <v/>
      </c>
      <c r="B78" s="16" t="str">
        <f t="shared" si="4"/>
        <v/>
      </c>
      <c r="C78" s="16" t="str">
        <f t="shared" si="5"/>
        <v/>
      </c>
    </row>
    <row r="79" spans="1:3" x14ac:dyDescent="0.25">
      <c r="A79" s="16" t="str">
        <f t="shared" si="3"/>
        <v/>
      </c>
      <c r="B79" s="16" t="str">
        <f t="shared" si="4"/>
        <v/>
      </c>
      <c r="C79" s="16" t="str">
        <f t="shared" si="5"/>
        <v/>
      </c>
    </row>
    <row r="80" spans="1:3" x14ac:dyDescent="0.25">
      <c r="A80" s="16" t="str">
        <f t="shared" si="3"/>
        <v/>
      </c>
      <c r="B80" s="16" t="str">
        <f t="shared" si="4"/>
        <v/>
      </c>
      <c r="C80" s="16" t="str">
        <f t="shared" si="5"/>
        <v/>
      </c>
    </row>
    <row r="81" spans="1:3" x14ac:dyDescent="0.25">
      <c r="A81" s="16" t="str">
        <f t="shared" si="3"/>
        <v/>
      </c>
      <c r="B81" s="16" t="str">
        <f t="shared" si="4"/>
        <v/>
      </c>
      <c r="C81" s="16" t="str">
        <f t="shared" si="5"/>
        <v/>
      </c>
    </row>
    <row r="82" spans="1:3" x14ac:dyDescent="0.25">
      <c r="A82" s="16" t="str">
        <f t="shared" si="3"/>
        <v/>
      </c>
      <c r="B82" s="16" t="str">
        <f t="shared" si="4"/>
        <v/>
      </c>
      <c r="C82" s="16" t="str">
        <f t="shared" si="5"/>
        <v/>
      </c>
    </row>
    <row r="83" spans="1:3" x14ac:dyDescent="0.25">
      <c r="A83" s="16" t="str">
        <f t="shared" si="3"/>
        <v/>
      </c>
      <c r="B83" s="16" t="str">
        <f t="shared" si="4"/>
        <v/>
      </c>
      <c r="C83" s="16" t="str">
        <f t="shared" si="5"/>
        <v/>
      </c>
    </row>
    <row r="84" spans="1:3" x14ac:dyDescent="0.25">
      <c r="A84" s="16" t="str">
        <f t="shared" si="3"/>
        <v/>
      </c>
      <c r="B84" s="16" t="str">
        <f t="shared" si="4"/>
        <v/>
      </c>
      <c r="C84" s="16" t="str">
        <f t="shared" si="5"/>
        <v/>
      </c>
    </row>
    <row r="85" spans="1:3" x14ac:dyDescent="0.25">
      <c r="A85" s="16" t="str">
        <f t="shared" si="3"/>
        <v/>
      </c>
      <c r="B85" s="16" t="str">
        <f t="shared" si="4"/>
        <v/>
      </c>
      <c r="C85" s="16" t="str">
        <f t="shared" si="5"/>
        <v/>
      </c>
    </row>
    <row r="86" spans="1:3" x14ac:dyDescent="0.25">
      <c r="A86" s="16" t="str">
        <f t="shared" si="3"/>
        <v/>
      </c>
      <c r="B86" s="16" t="str">
        <f t="shared" si="4"/>
        <v/>
      </c>
      <c r="C86" s="16" t="str">
        <f t="shared" si="5"/>
        <v/>
      </c>
    </row>
    <row r="87" spans="1:3" x14ac:dyDescent="0.25">
      <c r="A87" s="16" t="str">
        <f t="shared" si="3"/>
        <v/>
      </c>
      <c r="B87" s="16" t="str">
        <f t="shared" si="4"/>
        <v/>
      </c>
      <c r="C87" s="16" t="str">
        <f t="shared" si="5"/>
        <v/>
      </c>
    </row>
    <row r="88" spans="1:3" x14ac:dyDescent="0.25">
      <c r="A88" s="16" t="str">
        <f t="shared" si="3"/>
        <v/>
      </c>
      <c r="B88" s="16" t="str">
        <f t="shared" si="4"/>
        <v/>
      </c>
      <c r="C88" s="16" t="str">
        <f t="shared" si="5"/>
        <v/>
      </c>
    </row>
    <row r="89" spans="1:3" x14ac:dyDescent="0.25">
      <c r="A89" s="16" t="str">
        <f t="shared" si="3"/>
        <v/>
      </c>
      <c r="B89" s="16" t="str">
        <f t="shared" si="4"/>
        <v/>
      </c>
      <c r="C89" s="16" t="str">
        <f t="shared" si="5"/>
        <v/>
      </c>
    </row>
    <row r="90" spans="1:3" x14ac:dyDescent="0.25">
      <c r="A90" s="16" t="str">
        <f t="shared" si="3"/>
        <v/>
      </c>
      <c r="B90" s="16" t="str">
        <f t="shared" si="4"/>
        <v/>
      </c>
      <c r="C90" s="16" t="str">
        <f t="shared" si="5"/>
        <v/>
      </c>
    </row>
    <row r="91" spans="1:3" x14ac:dyDescent="0.25">
      <c r="A91" s="16" t="str">
        <f t="shared" si="3"/>
        <v/>
      </c>
      <c r="B91" s="16" t="str">
        <f t="shared" si="4"/>
        <v/>
      </c>
      <c r="C91" s="16" t="str">
        <f t="shared" si="5"/>
        <v/>
      </c>
    </row>
    <row r="92" spans="1:3" x14ac:dyDescent="0.25">
      <c r="A92" s="16" t="str">
        <f t="shared" si="3"/>
        <v/>
      </c>
      <c r="B92" s="16" t="str">
        <f t="shared" si="4"/>
        <v/>
      </c>
      <c r="C92" s="16" t="str">
        <f t="shared" si="5"/>
        <v/>
      </c>
    </row>
    <row r="93" spans="1:3" x14ac:dyDescent="0.25">
      <c r="A93" s="16" t="str">
        <f t="shared" si="3"/>
        <v/>
      </c>
      <c r="B93" s="16" t="str">
        <f t="shared" si="4"/>
        <v/>
      </c>
      <c r="C93" s="16" t="str">
        <f t="shared" si="5"/>
        <v/>
      </c>
    </row>
    <row r="94" spans="1:3" x14ac:dyDescent="0.25">
      <c r="A94" s="16" t="str">
        <f t="shared" si="3"/>
        <v/>
      </c>
      <c r="B94" s="16" t="str">
        <f t="shared" si="4"/>
        <v/>
      </c>
      <c r="C94" s="16" t="str">
        <f t="shared" si="5"/>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topLeftCell="A3" workbookViewId="0">
      <selection activeCell="O18" sqref="O18"/>
    </sheetView>
  </sheetViews>
  <sheetFormatPr defaultColWidth="8.85546875" defaultRowHeight="15" x14ac:dyDescent="0.2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32" sqref="J32"/>
    </sheetView>
  </sheetViews>
  <sheetFormatPr defaultColWidth="8.85546875" defaultRowHeight="15" x14ac:dyDescent="0.2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4"/>
  <sheetViews>
    <sheetView workbookViewId="0">
      <selection activeCell="F4" sqref="F4"/>
    </sheetView>
  </sheetViews>
  <sheetFormatPr defaultColWidth="8.85546875" defaultRowHeight="15" x14ac:dyDescent="0.25"/>
  <cols>
    <col min="1" max="1" width="23" customWidth="1"/>
    <col min="2" max="2" width="17.140625" customWidth="1"/>
    <col min="3" max="3" width="9.5703125" bestFit="1" customWidth="1"/>
    <col min="4" max="4" width="13.28515625" customWidth="1"/>
    <col min="5" max="5" width="16.28515625" customWidth="1"/>
    <col min="6" max="6" width="12.85546875" customWidth="1"/>
    <col min="7" max="7" width="11.5703125" customWidth="1"/>
    <col min="9" max="9" width="15.28515625" customWidth="1"/>
    <col min="10" max="10" width="14.140625" customWidth="1"/>
  </cols>
  <sheetData>
    <row r="1" spans="1:11" x14ac:dyDescent="0.25">
      <c r="A1" s="84" t="s">
        <v>107</v>
      </c>
      <c r="B1" s="76">
        <f>E31</f>
        <v>1046.9253688024912</v>
      </c>
      <c r="C1" s="95">
        <f>-PV(C5/C6,C4*C6,C3*C2/C6,C2)</f>
        <v>1096.6333433459631</v>
      </c>
      <c r="D1" t="s">
        <v>106</v>
      </c>
      <c r="F1" s="94">
        <v>-0.02</v>
      </c>
    </row>
    <row r="2" spans="1:11" x14ac:dyDescent="0.25">
      <c r="A2" s="84" t="s">
        <v>105</v>
      </c>
      <c r="B2" s="93">
        <v>1000</v>
      </c>
      <c r="C2" s="82">
        <f>B2</f>
        <v>1000</v>
      </c>
      <c r="D2" t="s">
        <v>7</v>
      </c>
      <c r="F2" s="92" t="s">
        <v>7</v>
      </c>
      <c r="G2" s="91" t="s">
        <v>7</v>
      </c>
    </row>
    <row r="3" spans="1:11" x14ac:dyDescent="0.25">
      <c r="A3" s="84" t="s">
        <v>104</v>
      </c>
      <c r="B3" s="88">
        <v>0.09</v>
      </c>
      <c r="C3" s="87">
        <f>B3</f>
        <v>0.09</v>
      </c>
    </row>
    <row r="4" spans="1:11" x14ac:dyDescent="0.25">
      <c r="A4" s="84" t="s">
        <v>103</v>
      </c>
      <c r="B4" s="83">
        <v>6</v>
      </c>
      <c r="C4" s="90">
        <f>B4</f>
        <v>6</v>
      </c>
      <c r="D4" t="s">
        <v>102</v>
      </c>
      <c r="F4" s="14">
        <f>-B9*F1*B1</f>
        <v>96.573468513586363</v>
      </c>
      <c r="G4" s="89">
        <f>F4/B1</f>
        <v>9.2244845135475484E-2</v>
      </c>
      <c r="H4" t="s">
        <v>101</v>
      </c>
    </row>
    <row r="5" spans="1:11" ht="17.25" x14ac:dyDescent="0.25">
      <c r="A5" s="84" t="s">
        <v>100</v>
      </c>
      <c r="B5" s="88">
        <v>0.08</v>
      </c>
      <c r="C5" s="87">
        <v>7.0000000000000007E-2</v>
      </c>
      <c r="D5" s="43" t="s">
        <v>99</v>
      </c>
      <c r="E5" s="43"/>
      <c r="F5" s="86">
        <f>0.5*B10*F1^2*B1</f>
        <v>5.5631063386049835</v>
      </c>
      <c r="G5" s="85">
        <f>F5/B1</f>
        <v>5.3137563616098569E-3</v>
      </c>
      <c r="H5" s="73" t="s">
        <v>98</v>
      </c>
    </row>
    <row r="6" spans="1:11" x14ac:dyDescent="0.25">
      <c r="A6" s="84" t="s">
        <v>97</v>
      </c>
      <c r="B6" s="83">
        <v>2</v>
      </c>
      <c r="C6" s="82">
        <f>B6</f>
        <v>2</v>
      </c>
      <c r="D6" s="43" t="s">
        <v>96</v>
      </c>
      <c r="E6" s="43"/>
      <c r="F6" s="81">
        <f>F4+F5</f>
        <v>102.13657485219134</v>
      </c>
      <c r="G6" s="80">
        <f>SUM(G4:G5)</f>
        <v>9.755860149708534E-2</v>
      </c>
      <c r="H6" s="73"/>
      <c r="I6" s="7" t="s">
        <v>95</v>
      </c>
      <c r="J6" s="78">
        <f>-PV(0.06/2,12,45,1000)</f>
        <v>1149.3100599035135</v>
      </c>
    </row>
    <row r="7" spans="1:11" x14ac:dyDescent="0.25">
      <c r="D7" s="43"/>
      <c r="E7" s="43"/>
      <c r="F7" s="43"/>
      <c r="G7" s="73"/>
      <c r="H7" s="73"/>
      <c r="I7" s="7" t="s">
        <v>94</v>
      </c>
      <c r="J7" s="78">
        <f>J6-B1</f>
        <v>102.38469110102233</v>
      </c>
    </row>
    <row r="8" spans="1:11" x14ac:dyDescent="0.25">
      <c r="A8" s="11" t="s">
        <v>93</v>
      </c>
      <c r="B8" s="77">
        <f>F33</f>
        <v>4.7967319470447247</v>
      </c>
      <c r="D8" s="43" t="s">
        <v>92</v>
      </c>
      <c r="E8" s="43"/>
      <c r="F8" s="76">
        <f>-PV((B5+F1)/2,B4*2, 45,B2)</f>
        <v>1149.3100599035135</v>
      </c>
      <c r="G8" s="79" t="s">
        <v>7</v>
      </c>
      <c r="H8" s="73"/>
      <c r="I8" s="7" t="s">
        <v>88</v>
      </c>
      <c r="J8" s="78">
        <f>J7-F4</f>
        <v>5.8112225874359638</v>
      </c>
    </row>
    <row r="9" spans="1:11" x14ac:dyDescent="0.25">
      <c r="A9" s="11" t="s">
        <v>91</v>
      </c>
      <c r="B9" s="77">
        <f>B8/(1+B5/B6)</f>
        <v>4.612242256773774</v>
      </c>
      <c r="D9" s="43" t="s">
        <v>90</v>
      </c>
      <c r="E9" s="43"/>
      <c r="F9" s="76">
        <f>B1+F6</f>
        <v>1149.0619436546826</v>
      </c>
      <c r="G9" s="73"/>
      <c r="H9" s="73"/>
    </row>
    <row r="10" spans="1:11" x14ac:dyDescent="0.25">
      <c r="A10" s="75" t="s">
        <v>89</v>
      </c>
      <c r="B10" s="74">
        <f>I33</f>
        <v>26.568781808049284</v>
      </c>
      <c r="D10" s="43" t="s">
        <v>88</v>
      </c>
      <c r="E10" s="43"/>
      <c r="F10" s="154">
        <f>F9-F8</f>
        <v>-0.24811624883091099</v>
      </c>
      <c r="G10" s="73"/>
      <c r="H10" s="73"/>
      <c r="J10" t="s">
        <v>7</v>
      </c>
    </row>
    <row r="11" spans="1:11" x14ac:dyDescent="0.25">
      <c r="A11" s="72" t="s">
        <v>87</v>
      </c>
      <c r="B11" s="72"/>
      <c r="C11" s="72"/>
      <c r="D11" s="72"/>
      <c r="E11" s="72"/>
      <c r="F11" s="71"/>
      <c r="G11" s="70"/>
    </row>
    <row r="12" spans="1:11" x14ac:dyDescent="0.25">
      <c r="A12" s="72" t="s">
        <v>86</v>
      </c>
      <c r="B12" s="72"/>
      <c r="C12" s="72"/>
      <c r="D12" s="72"/>
      <c r="E12" s="72"/>
      <c r="F12" s="71"/>
      <c r="G12" s="70"/>
    </row>
    <row r="13" spans="1:11" x14ac:dyDescent="0.25">
      <c r="A13" s="72" t="s">
        <v>85</v>
      </c>
      <c r="B13" s="72"/>
      <c r="C13" s="72"/>
      <c r="D13" s="72"/>
      <c r="E13" s="72"/>
      <c r="F13" s="71"/>
      <c r="G13" s="70"/>
    </row>
    <row r="14" spans="1:11" x14ac:dyDescent="0.25">
      <c r="B14" s="69"/>
      <c r="F14" s="10"/>
    </row>
    <row r="15" spans="1:11" ht="15.75" thickBot="1" x14ac:dyDescent="0.3">
      <c r="A15" t="s">
        <v>7</v>
      </c>
      <c r="B15" t="s">
        <v>7</v>
      </c>
      <c r="C15" t="s">
        <v>7</v>
      </c>
      <c r="D15" t="s">
        <v>7</v>
      </c>
      <c r="E15" t="s">
        <v>7</v>
      </c>
      <c r="F15" t="s">
        <v>7</v>
      </c>
      <c r="G15" s="43" t="s">
        <v>7</v>
      </c>
      <c r="H15" s="43" t="s">
        <v>7</v>
      </c>
      <c r="I15" s="68" t="s">
        <v>7</v>
      </c>
      <c r="J15" s="43"/>
      <c r="K15" s="43"/>
    </row>
    <row r="16" spans="1:11" ht="15.75" thickBot="1" x14ac:dyDescent="0.3">
      <c r="A16" s="67">
        <v>1</v>
      </c>
      <c r="B16" s="66">
        <v>2</v>
      </c>
      <c r="C16" s="66">
        <v>3</v>
      </c>
      <c r="D16" s="66">
        <v>4</v>
      </c>
      <c r="E16" s="66">
        <v>5</v>
      </c>
      <c r="F16" s="66">
        <v>6</v>
      </c>
      <c r="G16" s="65">
        <v>7</v>
      </c>
      <c r="H16" s="65">
        <v>8</v>
      </c>
      <c r="I16" s="64" t="s">
        <v>84</v>
      </c>
      <c r="J16" s="43"/>
      <c r="K16" s="43"/>
    </row>
    <row r="17" spans="1:11" ht="15.75" thickBot="1" x14ac:dyDescent="0.3">
      <c r="A17" s="63" t="s">
        <v>83</v>
      </c>
      <c r="B17" s="62" t="s">
        <v>82</v>
      </c>
      <c r="C17" s="61" t="s">
        <v>81</v>
      </c>
      <c r="D17" s="61" t="s">
        <v>80</v>
      </c>
      <c r="E17" s="61" t="s">
        <v>79</v>
      </c>
      <c r="F17" s="61" t="s">
        <v>78</v>
      </c>
      <c r="G17" s="60" t="s">
        <v>77</v>
      </c>
      <c r="H17" s="60" t="s">
        <v>76</v>
      </c>
      <c r="I17" s="59"/>
      <c r="J17" s="43"/>
      <c r="K17" s="43"/>
    </row>
    <row r="18" spans="1:11" x14ac:dyDescent="0.25">
      <c r="A18">
        <v>0.5</v>
      </c>
      <c r="B18">
        <v>1</v>
      </c>
      <c r="C18" s="57">
        <f>$B$2*$B$3/2</f>
        <v>45</v>
      </c>
      <c r="D18" s="16">
        <f>(1+B$5/2)^B18</f>
        <v>1.04</v>
      </c>
      <c r="E18" s="146">
        <f>C18/D18</f>
        <v>43.269230769230766</v>
      </c>
      <c r="F18" s="146">
        <f>B18*E18</f>
        <v>43.269230769230766</v>
      </c>
      <c r="G18" s="56">
        <f>(1+B$5/2)^2</f>
        <v>1.0816000000000001</v>
      </c>
      <c r="H18" s="56">
        <f>B18+B18^2</f>
        <v>2</v>
      </c>
      <c r="I18" s="148">
        <f>E18*H18/G18</f>
        <v>80.009672280382333</v>
      </c>
      <c r="J18" s="43"/>
      <c r="K18" s="43"/>
    </row>
    <row r="19" spans="1:11" x14ac:dyDescent="0.25">
      <c r="A19">
        <v>1</v>
      </c>
      <c r="B19">
        <f t="shared" ref="B19:B27" si="0">B18+1</f>
        <v>2</v>
      </c>
      <c r="C19" s="57">
        <f t="shared" ref="C19:C28" si="1">$B$2*$B$3/2</f>
        <v>45</v>
      </c>
      <c r="D19" s="16">
        <f t="shared" ref="D19:D29" si="2">(1+B$5/2)^B19</f>
        <v>1.0816000000000001</v>
      </c>
      <c r="E19" s="146">
        <f t="shared" ref="E19:E29" si="3">C19/D19</f>
        <v>41.60502958579881</v>
      </c>
      <c r="F19" s="146">
        <f t="shared" ref="F19:F29" si="4">B19*E19</f>
        <v>83.210059171597621</v>
      </c>
      <c r="G19" s="56">
        <f t="shared" ref="G19:G29" si="5">(1+B$5/2)^2</f>
        <v>1.0816000000000001</v>
      </c>
      <c r="H19" s="56">
        <f t="shared" ref="H19:H29" si="6">B19+B19^2</f>
        <v>6</v>
      </c>
      <c r="I19" s="148">
        <f t="shared" ref="I19:I29" si="7">E19*H19/G19</f>
        <v>230.79713157802593</v>
      </c>
      <c r="J19" s="43"/>
      <c r="K19" s="43"/>
    </row>
    <row r="20" spans="1:11" x14ac:dyDescent="0.25">
      <c r="A20">
        <v>1.5</v>
      </c>
      <c r="B20">
        <f t="shared" si="0"/>
        <v>3</v>
      </c>
      <c r="C20" s="57">
        <f t="shared" si="1"/>
        <v>45</v>
      </c>
      <c r="D20" s="16">
        <f t="shared" si="2"/>
        <v>1.1248640000000001</v>
      </c>
      <c r="E20" s="146">
        <f t="shared" si="3"/>
        <v>40.004836140191166</v>
      </c>
      <c r="F20" s="146">
        <f t="shared" si="4"/>
        <v>120.01450842057349</v>
      </c>
      <c r="G20" s="56">
        <f t="shared" si="5"/>
        <v>1.0816000000000001</v>
      </c>
      <c r="H20" s="56">
        <f t="shared" si="6"/>
        <v>12</v>
      </c>
      <c r="I20" s="148">
        <f t="shared" si="7"/>
        <v>443.84063765004987</v>
      </c>
      <c r="J20" s="43"/>
      <c r="K20" s="43"/>
    </row>
    <row r="21" spans="1:11" x14ac:dyDescent="0.25">
      <c r="A21">
        <v>2</v>
      </c>
      <c r="B21">
        <f t="shared" si="0"/>
        <v>4</v>
      </c>
      <c r="C21" s="57">
        <f t="shared" si="1"/>
        <v>45</v>
      </c>
      <c r="D21" s="16">
        <f t="shared" si="2"/>
        <v>1.1698585600000002</v>
      </c>
      <c r="E21" s="146">
        <f t="shared" si="3"/>
        <v>38.466188596337659</v>
      </c>
      <c r="F21" s="146">
        <f t="shared" si="4"/>
        <v>153.86475438535064</v>
      </c>
      <c r="G21" s="56">
        <f t="shared" si="5"/>
        <v>1.0816000000000001</v>
      </c>
      <c r="H21" s="56">
        <f t="shared" si="6"/>
        <v>20</v>
      </c>
      <c r="I21" s="148">
        <f t="shared" si="7"/>
        <v>711.28307315713118</v>
      </c>
      <c r="J21" s="43"/>
      <c r="K21" s="43"/>
    </row>
    <row r="22" spans="1:11" x14ac:dyDescent="0.25">
      <c r="A22">
        <v>2.5</v>
      </c>
      <c r="B22">
        <f t="shared" si="0"/>
        <v>5</v>
      </c>
      <c r="C22" s="57">
        <f t="shared" si="1"/>
        <v>45</v>
      </c>
      <c r="D22" s="16">
        <f t="shared" si="2"/>
        <v>1.2166529024000003</v>
      </c>
      <c r="E22" s="146">
        <f t="shared" si="3"/>
        <v>36.986719804170818</v>
      </c>
      <c r="F22" s="146">
        <f t="shared" si="4"/>
        <v>184.9335990208541</v>
      </c>
      <c r="G22" s="56">
        <f t="shared" si="5"/>
        <v>1.0816000000000001</v>
      </c>
      <c r="H22" s="56">
        <f t="shared" si="6"/>
        <v>30</v>
      </c>
      <c r="I22" s="148">
        <f t="shared" si="7"/>
        <v>1025.8890478227852</v>
      </c>
      <c r="J22" s="43"/>
      <c r="K22" s="43"/>
    </row>
    <row r="23" spans="1:11" x14ac:dyDescent="0.25">
      <c r="A23">
        <v>3</v>
      </c>
      <c r="B23">
        <f t="shared" si="0"/>
        <v>6</v>
      </c>
      <c r="C23" s="57">
        <f t="shared" si="1"/>
        <v>45</v>
      </c>
      <c r="D23" s="16">
        <f t="shared" si="2"/>
        <v>1.2653190184960004</v>
      </c>
      <c r="E23" s="146">
        <f t="shared" si="3"/>
        <v>35.564153657856558</v>
      </c>
      <c r="F23" s="146">
        <f t="shared" si="4"/>
        <v>213.38492194713933</v>
      </c>
      <c r="G23" s="56">
        <f t="shared" si="5"/>
        <v>1.0816000000000001</v>
      </c>
      <c r="H23" s="56">
        <f t="shared" si="6"/>
        <v>42</v>
      </c>
      <c r="I23" s="148">
        <f t="shared" si="7"/>
        <v>1381.0044874537493</v>
      </c>
      <c r="J23" s="43"/>
      <c r="K23" s="43"/>
    </row>
    <row r="24" spans="1:11" x14ac:dyDescent="0.25">
      <c r="A24">
        <v>3.5</v>
      </c>
      <c r="B24">
        <f t="shared" si="0"/>
        <v>7</v>
      </c>
      <c r="C24" s="57">
        <f t="shared" si="1"/>
        <v>45</v>
      </c>
      <c r="D24" s="16">
        <f t="shared" si="2"/>
        <v>1.3159317792358403</v>
      </c>
      <c r="E24" s="146">
        <f t="shared" si="3"/>
        <v>34.196301594092844</v>
      </c>
      <c r="F24" s="146">
        <f t="shared" si="4"/>
        <v>239.3741111586499</v>
      </c>
      <c r="G24" s="56">
        <f t="shared" si="5"/>
        <v>1.0816000000000001</v>
      </c>
      <c r="H24" s="56">
        <f t="shared" si="6"/>
        <v>56</v>
      </c>
      <c r="I24" s="148">
        <f t="shared" si="7"/>
        <v>1770.5185736586529</v>
      </c>
      <c r="J24" s="43"/>
      <c r="K24" s="43"/>
    </row>
    <row r="25" spans="1:11" x14ac:dyDescent="0.25">
      <c r="A25">
        <v>4</v>
      </c>
      <c r="B25">
        <f t="shared" si="0"/>
        <v>8</v>
      </c>
      <c r="C25" s="57">
        <f t="shared" si="1"/>
        <v>45</v>
      </c>
      <c r="D25" s="16">
        <f t="shared" si="2"/>
        <v>1.3685690504052741</v>
      </c>
      <c r="E25" s="146">
        <f t="shared" si="3"/>
        <v>32.881059225089267</v>
      </c>
      <c r="F25" s="146">
        <f t="shared" si="4"/>
        <v>263.04847380071413</v>
      </c>
      <c r="G25" s="56">
        <f t="shared" si="5"/>
        <v>1.0816000000000001</v>
      </c>
      <c r="H25" s="56">
        <f t="shared" si="6"/>
        <v>72</v>
      </c>
      <c r="I25" s="148">
        <f t="shared" si="7"/>
        <v>2188.827906995587</v>
      </c>
      <c r="J25" s="43"/>
      <c r="K25" s="43"/>
    </row>
    <row r="26" spans="1:11" x14ac:dyDescent="0.25">
      <c r="A26">
        <v>4.5</v>
      </c>
      <c r="B26">
        <f t="shared" si="0"/>
        <v>9</v>
      </c>
      <c r="C26" s="57">
        <f t="shared" si="1"/>
        <v>45</v>
      </c>
      <c r="D26" s="16">
        <f t="shared" si="2"/>
        <v>1.4233118124214852</v>
      </c>
      <c r="E26" s="146">
        <f t="shared" si="3"/>
        <v>31.616403101047371</v>
      </c>
      <c r="F26" s="146">
        <f t="shared" si="4"/>
        <v>284.54762790942635</v>
      </c>
      <c r="G26" s="56">
        <f t="shared" si="5"/>
        <v>1.0816000000000001</v>
      </c>
      <c r="H26" s="56">
        <f t="shared" si="6"/>
        <v>90</v>
      </c>
      <c r="I26" s="148">
        <f t="shared" si="7"/>
        <v>2630.8027728312345</v>
      </c>
      <c r="J26" s="43"/>
      <c r="K26" s="43"/>
    </row>
    <row r="27" spans="1:11" x14ac:dyDescent="0.25">
      <c r="A27">
        <v>5</v>
      </c>
      <c r="B27">
        <f t="shared" si="0"/>
        <v>10</v>
      </c>
      <c r="C27" s="57">
        <f t="shared" si="1"/>
        <v>45</v>
      </c>
      <c r="D27" s="16">
        <f t="shared" si="2"/>
        <v>1.4802442849183446</v>
      </c>
      <c r="E27" s="146">
        <f t="shared" si="3"/>
        <v>30.400387597160936</v>
      </c>
      <c r="F27" s="146">
        <f t="shared" si="4"/>
        <v>304.00387597160938</v>
      </c>
      <c r="G27" s="56">
        <f t="shared" si="5"/>
        <v>1.0816000000000001</v>
      </c>
      <c r="H27" s="56">
        <f t="shared" si="6"/>
        <v>110</v>
      </c>
      <c r="I27" s="148">
        <f t="shared" si="7"/>
        <v>3091.7553954213226</v>
      </c>
      <c r="J27" s="43"/>
      <c r="K27" s="43"/>
    </row>
    <row r="28" spans="1:11" x14ac:dyDescent="0.25">
      <c r="A28">
        <v>5.5</v>
      </c>
      <c r="B28">
        <v>11</v>
      </c>
      <c r="C28" s="57">
        <f t="shared" si="1"/>
        <v>45</v>
      </c>
      <c r="D28" s="16">
        <f t="shared" si="2"/>
        <v>1.5394540563150783</v>
      </c>
      <c r="E28" s="146">
        <f t="shared" si="3"/>
        <v>29.231141920347056</v>
      </c>
      <c r="F28" s="146">
        <f t="shared" si="4"/>
        <v>321.54256112381762</v>
      </c>
      <c r="G28" s="56">
        <f t="shared" si="5"/>
        <v>1.0816000000000001</v>
      </c>
      <c r="H28" s="56">
        <f t="shared" si="6"/>
        <v>132</v>
      </c>
      <c r="I28" s="148">
        <f t="shared" si="7"/>
        <v>3567.410071639988</v>
      </c>
      <c r="J28" s="43"/>
      <c r="K28" s="43"/>
    </row>
    <row r="29" spans="1:11" x14ac:dyDescent="0.25">
      <c r="A29" s="58">
        <v>6</v>
      </c>
      <c r="B29" s="58">
        <v>12</v>
      </c>
      <c r="C29" s="57">
        <f>$B$2*$B$3/2+$B$2</f>
        <v>1045</v>
      </c>
      <c r="D29" s="16">
        <f t="shared" si="2"/>
        <v>1.6010322185676817</v>
      </c>
      <c r="E29" s="146">
        <f t="shared" si="3"/>
        <v>652.70391681116803</v>
      </c>
      <c r="F29" s="146">
        <f t="shared" si="4"/>
        <v>7832.4470017340163</v>
      </c>
      <c r="G29" s="56">
        <f t="shared" si="5"/>
        <v>1.0816000000000001</v>
      </c>
      <c r="H29" s="56">
        <f t="shared" si="6"/>
        <v>156</v>
      </c>
      <c r="I29" s="148">
        <f t="shared" si="7"/>
        <v>94139.988001610764</v>
      </c>
      <c r="J29" s="43"/>
      <c r="K29" s="43"/>
    </row>
    <row r="30" spans="1:11" x14ac:dyDescent="0.25">
      <c r="B30" t="s">
        <v>7</v>
      </c>
      <c r="C30" s="145"/>
      <c r="D30" s="149"/>
      <c r="E30" s="150"/>
      <c r="F30" s="150"/>
      <c r="G30" s="151"/>
      <c r="H30" s="151"/>
      <c r="I30" s="152"/>
      <c r="J30" s="43"/>
      <c r="K30" s="43"/>
    </row>
    <row r="31" spans="1:11" x14ac:dyDescent="0.25">
      <c r="B31" t="s">
        <v>7</v>
      </c>
      <c r="C31" s="145"/>
      <c r="D31" s="8" t="s">
        <v>75</v>
      </c>
      <c r="E31" s="147">
        <f>SUM(E18:E30)</f>
        <v>1046.9253688024912</v>
      </c>
      <c r="F31" s="55">
        <f>SUM(F18:F30)</f>
        <v>10043.640725412981</v>
      </c>
      <c r="G31" s="151"/>
      <c r="H31" s="151"/>
      <c r="I31" s="54">
        <f>SUM(I18:I30)</f>
        <v>111262.12677209967</v>
      </c>
      <c r="J31" s="49" t="s">
        <v>74</v>
      </c>
      <c r="K31" s="43"/>
    </row>
    <row r="32" spans="1:11" x14ac:dyDescent="0.25">
      <c r="E32" s="53" t="s">
        <v>72</v>
      </c>
      <c r="F32" s="52">
        <f>F31/E31</f>
        <v>9.5934638940894494</v>
      </c>
      <c r="G32" s="49" t="s">
        <v>73</v>
      </c>
      <c r="H32" s="151"/>
      <c r="I32" s="50">
        <f>I31/E31</f>
        <v>106.27512723219714</v>
      </c>
      <c r="J32" s="49" t="s">
        <v>72</v>
      </c>
      <c r="K32" s="43"/>
    </row>
    <row r="33" spans="5:11" x14ac:dyDescent="0.25">
      <c r="E33" s="48" t="s">
        <v>71</v>
      </c>
      <c r="F33" s="47">
        <f>F32/2</f>
        <v>4.7967319470447247</v>
      </c>
      <c r="G33" s="44" t="s">
        <v>70</v>
      </c>
      <c r="H33" s="151"/>
      <c r="I33" s="45">
        <f>I32/4</f>
        <v>26.568781808049284</v>
      </c>
      <c r="J33" s="44" t="s">
        <v>69</v>
      </c>
      <c r="K33" s="43"/>
    </row>
    <row r="34" spans="5:11" x14ac:dyDescent="0.25">
      <c r="G34" s="43"/>
      <c r="H34" s="153"/>
      <c r="I34" s="43"/>
      <c r="J34" s="43"/>
      <c r="K34" s="43"/>
    </row>
  </sheetData>
  <dataValidations disablePrompts="1" count="2">
    <dataValidation type="whole" allowBlank="1" showErrorMessage="1" error="These calculations only work on a payment date, so this value must be a positive integer between 1 and 20." prompt="The life of the bond must be between 1 and 20 years." sqref="B4">
      <formula1>1</formula1>
      <formula2>20</formula2>
    </dataValidation>
    <dataValidation type="custom" allowBlank="1" showInputMessage="1" showErrorMessage="1" error="The frequency is restricted to either 1 or 2 (annual or semiannual)." sqref="B6">
      <formula1>OR(B6=1,B6=2)=TRUE</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P27"/>
  <sheetViews>
    <sheetView zoomScale="62" zoomScaleNormal="62" workbookViewId="0">
      <selection activeCell="A28" sqref="A28"/>
    </sheetView>
  </sheetViews>
  <sheetFormatPr defaultColWidth="8.85546875" defaultRowHeight="15" x14ac:dyDescent="0.25"/>
  <sheetData>
    <row r="27" spans="16:16" x14ac:dyDescent="0.25">
      <c r="P27" s="88" t="s">
        <v>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56"/>
  <sheetViews>
    <sheetView topLeftCell="A31" workbookViewId="0">
      <selection activeCell="F2" sqref="F2"/>
    </sheetView>
  </sheetViews>
  <sheetFormatPr defaultColWidth="8.85546875" defaultRowHeight="15" x14ac:dyDescent="0.25"/>
  <cols>
    <col min="1" max="1" width="30.5703125" customWidth="1"/>
    <col min="2" max="2" width="13.5703125" customWidth="1"/>
    <col min="3" max="3" width="15.5703125" customWidth="1"/>
    <col min="4" max="4" width="14.85546875" customWidth="1"/>
    <col min="5" max="5" width="17" customWidth="1"/>
    <col min="6" max="6" width="17.5703125" customWidth="1"/>
    <col min="9" max="9" width="17.5703125" customWidth="1"/>
    <col min="10" max="10" width="15.28515625" customWidth="1"/>
  </cols>
  <sheetData>
    <row r="1" spans="1:10" x14ac:dyDescent="0.25">
      <c r="A1" s="84" t="s">
        <v>118</v>
      </c>
      <c r="B1" s="116">
        <f>-PV(B6/B7,B5*B7,B4*B3/B7,B3)</f>
        <v>100000</v>
      </c>
      <c r="C1" s="95" t="e">
        <f>-PV(C6/C7,C5*C7,C4*C3/C7,C3)</f>
        <v>#VALUE!</v>
      </c>
      <c r="D1" t="s">
        <v>106</v>
      </c>
      <c r="F1" s="88">
        <v>0</v>
      </c>
    </row>
    <row r="2" spans="1:10" x14ac:dyDescent="0.25">
      <c r="A2" s="84" t="s">
        <v>117</v>
      </c>
      <c r="B2" s="116">
        <f>-PV(B6+$F$1,B5,B4*B3,B3)</f>
        <v>100000</v>
      </c>
      <c r="C2" s="95"/>
      <c r="F2" s="94"/>
    </row>
    <row r="3" spans="1:10" x14ac:dyDescent="0.25">
      <c r="A3" s="84" t="s">
        <v>105</v>
      </c>
      <c r="B3" s="93">
        <v>100000</v>
      </c>
      <c r="C3" s="82" t="s">
        <v>116</v>
      </c>
      <c r="D3" t="s">
        <v>7</v>
      </c>
      <c r="F3" s="92" t="s">
        <v>7</v>
      </c>
      <c r="G3" s="91" t="s">
        <v>7</v>
      </c>
    </row>
    <row r="4" spans="1:10" x14ac:dyDescent="0.25">
      <c r="A4" s="84" t="s">
        <v>104</v>
      </c>
      <c r="B4" s="88">
        <v>2.5000000000000001E-2</v>
      </c>
      <c r="C4" s="87">
        <f>B4</f>
        <v>2.5000000000000001E-2</v>
      </c>
    </row>
    <row r="5" spans="1:10" x14ac:dyDescent="0.25">
      <c r="A5" s="84" t="s">
        <v>103</v>
      </c>
      <c r="B5" s="83">
        <v>10</v>
      </c>
      <c r="C5" s="90">
        <f>B5</f>
        <v>10</v>
      </c>
      <c r="D5" t="s">
        <v>102</v>
      </c>
      <c r="F5" s="14">
        <f>-B10*F1*B1</f>
        <v>0</v>
      </c>
      <c r="G5" s="91" t="s">
        <v>7</v>
      </c>
      <c r="H5" t="s">
        <v>101</v>
      </c>
    </row>
    <row r="6" spans="1:10" ht="17.25" x14ac:dyDescent="0.25">
      <c r="A6" s="84" t="s">
        <v>115</v>
      </c>
      <c r="B6" s="88">
        <v>2.5000000000000001E-2</v>
      </c>
      <c r="C6" s="87">
        <v>1.5000000000000001E-2</v>
      </c>
      <c r="D6" s="43" t="s">
        <v>99</v>
      </c>
      <c r="E6" s="43"/>
      <c r="F6" s="86">
        <f>0.5*B11*F1^2*B1</f>
        <v>0</v>
      </c>
      <c r="G6" s="115" t="s">
        <v>7</v>
      </c>
      <c r="H6" s="73" t="s">
        <v>98</v>
      </c>
    </row>
    <row r="7" spans="1:10" x14ac:dyDescent="0.25">
      <c r="A7" s="84" t="s">
        <v>97</v>
      </c>
      <c r="B7" s="83">
        <v>1</v>
      </c>
      <c r="C7" s="82">
        <f>B7</f>
        <v>1</v>
      </c>
      <c r="D7" s="43" t="s">
        <v>96</v>
      </c>
      <c r="E7" s="43"/>
      <c r="F7" s="81">
        <f>SUM(F5,F6)</f>
        <v>0</v>
      </c>
      <c r="G7" s="115" t="s">
        <v>7</v>
      </c>
      <c r="H7" s="73"/>
      <c r="I7" s="7"/>
      <c r="J7" s="78"/>
    </row>
    <row r="8" spans="1:10" x14ac:dyDescent="0.25">
      <c r="D8" s="43"/>
      <c r="E8" s="43"/>
      <c r="F8" s="43"/>
      <c r="G8" s="73"/>
      <c r="H8" s="73"/>
      <c r="I8" s="7"/>
      <c r="J8" s="78"/>
    </row>
    <row r="9" spans="1:10" x14ac:dyDescent="0.25">
      <c r="A9" s="11" t="s">
        <v>114</v>
      </c>
      <c r="B9" s="114">
        <f>F36</f>
        <v>8.9708655292452129</v>
      </c>
      <c r="D9" s="43" t="s">
        <v>92</v>
      </c>
      <c r="E9" s="43"/>
      <c r="F9" s="76">
        <f>B2</f>
        <v>100000</v>
      </c>
      <c r="G9" s="79" t="s">
        <v>7</v>
      </c>
      <c r="H9" s="73"/>
      <c r="I9" s="7"/>
      <c r="J9" s="78"/>
    </row>
    <row r="10" spans="1:10" x14ac:dyDescent="0.25">
      <c r="A10" s="11" t="s">
        <v>91</v>
      </c>
      <c r="B10" s="114">
        <f>B9/(1+B6/B7)</f>
        <v>8.7520639309709409</v>
      </c>
      <c r="D10" s="43" t="s">
        <v>90</v>
      </c>
      <c r="E10" s="43"/>
      <c r="F10" s="76">
        <f>B1+F7</f>
        <v>100000</v>
      </c>
      <c r="G10" s="73"/>
      <c r="H10" s="73"/>
    </row>
    <row r="11" spans="1:10" x14ac:dyDescent="0.25">
      <c r="A11" s="75" t="s">
        <v>89</v>
      </c>
      <c r="B11" s="113">
        <f>I36</f>
        <v>90.449288740522363</v>
      </c>
      <c r="D11" s="43" t="s">
        <v>88</v>
      </c>
      <c r="E11" s="43"/>
      <c r="F11" s="54">
        <f>F9-F10</f>
        <v>0</v>
      </c>
      <c r="G11" s="73"/>
      <c r="H11" s="73"/>
      <c r="J11" t="s">
        <v>7</v>
      </c>
    </row>
    <row r="12" spans="1:10" x14ac:dyDescent="0.25">
      <c r="A12" s="11" t="s">
        <v>113</v>
      </c>
      <c r="B12" s="114">
        <f>F55</f>
        <v>8.9708655292452075</v>
      </c>
      <c r="D12" s="43"/>
      <c r="E12" s="43"/>
      <c r="F12" s="112"/>
      <c r="G12" s="73"/>
      <c r="H12" s="73"/>
    </row>
    <row r="13" spans="1:10" x14ac:dyDescent="0.25">
      <c r="A13" s="11" t="s">
        <v>91</v>
      </c>
      <c r="B13" s="114">
        <f>B12/((1+B6+F1)/B10)</f>
        <v>76.598623051802477</v>
      </c>
      <c r="D13" s="43"/>
      <c r="E13" s="43"/>
      <c r="F13" s="112"/>
      <c r="G13" s="73"/>
      <c r="H13" s="73"/>
    </row>
    <row r="14" spans="1:10" x14ac:dyDescent="0.25">
      <c r="A14" s="75" t="s">
        <v>89</v>
      </c>
      <c r="B14" s="113">
        <f>I55</f>
        <v>90.449288740522306</v>
      </c>
      <c r="D14" s="43"/>
      <c r="E14" s="43"/>
      <c r="F14" s="112"/>
      <c r="G14" s="73"/>
      <c r="H14" s="73"/>
    </row>
    <row r="15" spans="1:10" x14ac:dyDescent="0.25">
      <c r="A15" s="72" t="s">
        <v>87</v>
      </c>
      <c r="B15" s="72"/>
      <c r="C15" s="72"/>
      <c r="D15" s="72"/>
      <c r="E15" s="72"/>
      <c r="F15" s="71"/>
      <c r="G15" s="70"/>
    </row>
    <row r="16" spans="1:10" x14ac:dyDescent="0.25">
      <c r="A16" s="72" t="s">
        <v>112</v>
      </c>
      <c r="B16" s="72"/>
      <c r="C16" s="72"/>
      <c r="D16" s="72"/>
      <c r="E16" s="72"/>
      <c r="F16" s="71"/>
      <c r="G16" s="70"/>
    </row>
    <row r="17" spans="1:11" x14ac:dyDescent="0.25">
      <c r="A17" s="72" t="s">
        <v>111</v>
      </c>
      <c r="B17" s="72"/>
      <c r="C17" s="72"/>
      <c r="D17" s="72"/>
      <c r="E17" s="72"/>
      <c r="F17" s="71"/>
      <c r="G17" s="70"/>
    </row>
    <row r="18" spans="1:11" x14ac:dyDescent="0.25">
      <c r="B18" s="69"/>
      <c r="F18" s="10"/>
    </row>
    <row r="19" spans="1:11" ht="15.75" thickBot="1" x14ac:dyDescent="0.3">
      <c r="A19" s="159" t="s">
        <v>110</v>
      </c>
      <c r="B19" s="160"/>
      <c r="C19" t="s">
        <v>7</v>
      </c>
      <c r="D19" t="s">
        <v>7</v>
      </c>
      <c r="E19" t="s">
        <v>7</v>
      </c>
      <c r="F19" t="s">
        <v>7</v>
      </c>
      <c r="G19" s="43" t="s">
        <v>7</v>
      </c>
      <c r="H19" s="43" t="s">
        <v>7</v>
      </c>
      <c r="I19" s="68" t="s">
        <v>7</v>
      </c>
      <c r="J19" s="43"/>
      <c r="K19" s="43"/>
    </row>
    <row r="20" spans="1:11" ht="15.75" thickBot="1" x14ac:dyDescent="0.3">
      <c r="A20" s="111">
        <v>1</v>
      </c>
      <c r="B20" s="107">
        <v>2</v>
      </c>
      <c r="C20" s="107">
        <v>3</v>
      </c>
      <c r="D20" s="107">
        <v>4</v>
      </c>
      <c r="E20" s="107">
        <v>5</v>
      </c>
      <c r="F20" s="107">
        <v>6</v>
      </c>
      <c r="G20" s="106">
        <v>7</v>
      </c>
      <c r="H20" s="106">
        <v>8</v>
      </c>
      <c r="I20" s="105" t="s">
        <v>84</v>
      </c>
      <c r="J20" s="43"/>
      <c r="K20" s="43"/>
    </row>
    <row r="21" spans="1:11" ht="15.75" thickBot="1" x14ac:dyDescent="0.3">
      <c r="A21" s="104" t="s">
        <v>83</v>
      </c>
      <c r="B21" s="103" t="s">
        <v>82</v>
      </c>
      <c r="C21" s="110" t="s">
        <v>81</v>
      </c>
      <c r="D21" s="110" t="s">
        <v>80</v>
      </c>
      <c r="E21" s="110" t="s">
        <v>79</v>
      </c>
      <c r="F21" s="110" t="s">
        <v>78</v>
      </c>
      <c r="G21" s="109" t="s">
        <v>77</v>
      </c>
      <c r="H21" s="109" t="s">
        <v>76</v>
      </c>
      <c r="I21" s="108"/>
      <c r="J21" s="43"/>
      <c r="K21" s="43"/>
    </row>
    <row r="22" spans="1:11" x14ac:dyDescent="0.25">
      <c r="A22">
        <v>1</v>
      </c>
      <c r="B22">
        <v>1</v>
      </c>
      <c r="C22" s="57">
        <f>$B$3*$B$4/B$7</f>
        <v>2500</v>
      </c>
      <c r="D22" s="16">
        <f>(1+B$6)^B22</f>
        <v>1.0249999999999999</v>
      </c>
      <c r="E22" s="57">
        <f>C22/D22</f>
        <v>2439.0243902439029</v>
      </c>
      <c r="F22" s="57">
        <f>E22*B22</f>
        <v>2439.0243902439029</v>
      </c>
      <c r="G22" s="56">
        <f>(1+B$6)^2</f>
        <v>1.0506249999999999</v>
      </c>
      <c r="H22" s="56">
        <f>B22+B22^2</f>
        <v>2</v>
      </c>
      <c r="I22" s="148">
        <f>E22*H22/G22</f>
        <v>4642.9970545987444</v>
      </c>
      <c r="J22" s="43"/>
      <c r="K22" s="43"/>
    </row>
    <row r="23" spans="1:11" x14ac:dyDescent="0.25">
      <c r="A23">
        <v>2</v>
      </c>
      <c r="B23">
        <f t="shared" ref="B23:B31" si="0">B22+1</f>
        <v>2</v>
      </c>
      <c r="C23" s="57">
        <f t="shared" ref="C23:C30" si="1">$B$3*$B$4/B$7</f>
        <v>2500</v>
      </c>
      <c r="D23" s="16">
        <f t="shared" ref="D23:D31" si="2">(1+B$6)^B23</f>
        <v>1.0506249999999999</v>
      </c>
      <c r="E23" s="57">
        <f t="shared" ref="E23:E31" si="3">C23/D23</f>
        <v>2379.5359904818561</v>
      </c>
      <c r="F23" s="57">
        <f t="shared" ref="F23:F31" si="4">E23*B23</f>
        <v>4759.0719809637121</v>
      </c>
      <c r="G23" s="56">
        <f t="shared" ref="G23:G31" si="5">(1+B$6)^2</f>
        <v>1.0506249999999999</v>
      </c>
      <c r="H23" s="56">
        <f t="shared" ref="H23:H31" si="6">B23+B23^2</f>
        <v>6</v>
      </c>
      <c r="I23" s="148">
        <f t="shared" ref="I23:I31" si="7">E23*H23/G23</f>
        <v>13589.259671996324</v>
      </c>
      <c r="J23" s="43"/>
      <c r="K23" s="43"/>
    </row>
    <row r="24" spans="1:11" x14ac:dyDescent="0.25">
      <c r="A24">
        <v>3</v>
      </c>
      <c r="B24">
        <f t="shared" si="0"/>
        <v>3</v>
      </c>
      <c r="C24" s="57">
        <f t="shared" si="1"/>
        <v>2500</v>
      </c>
      <c r="D24" s="16">
        <f t="shared" si="2"/>
        <v>1.0768906249999999</v>
      </c>
      <c r="E24" s="57">
        <f t="shared" si="3"/>
        <v>2321.4985272993722</v>
      </c>
      <c r="F24" s="57">
        <f t="shared" si="4"/>
        <v>6964.4955818981161</v>
      </c>
      <c r="G24" s="56">
        <f t="shared" si="5"/>
        <v>1.0506249999999999</v>
      </c>
      <c r="H24" s="56">
        <f t="shared" si="6"/>
        <v>12</v>
      </c>
      <c r="I24" s="148">
        <f t="shared" si="7"/>
        <v>26515.628628285514</v>
      </c>
      <c r="J24" s="43"/>
      <c r="K24" s="43"/>
    </row>
    <row r="25" spans="1:11" x14ac:dyDescent="0.25">
      <c r="A25">
        <v>4</v>
      </c>
      <c r="B25">
        <f t="shared" si="0"/>
        <v>4</v>
      </c>
      <c r="C25" s="57">
        <f t="shared" si="1"/>
        <v>2500</v>
      </c>
      <c r="D25" s="16">
        <f t="shared" si="2"/>
        <v>1.1038128906249998</v>
      </c>
      <c r="E25" s="57">
        <f t="shared" si="3"/>
        <v>2264.8766119993875</v>
      </c>
      <c r="F25" s="57">
        <f t="shared" si="4"/>
        <v>9059.5064479975499</v>
      </c>
      <c r="G25" s="56">
        <f t="shared" si="5"/>
        <v>1.0506249999999999</v>
      </c>
      <c r="H25" s="56">
        <f t="shared" si="6"/>
        <v>20</v>
      </c>
      <c r="I25" s="148">
        <f t="shared" si="7"/>
        <v>43114.843298025226</v>
      </c>
      <c r="J25" s="43"/>
      <c r="K25" s="43"/>
    </row>
    <row r="26" spans="1:11" x14ac:dyDescent="0.25">
      <c r="A26">
        <v>5</v>
      </c>
      <c r="B26">
        <f t="shared" si="0"/>
        <v>5</v>
      </c>
      <c r="C26" s="57">
        <f t="shared" si="1"/>
        <v>2500</v>
      </c>
      <c r="D26" s="16">
        <f t="shared" si="2"/>
        <v>1.1314082128906247</v>
      </c>
      <c r="E26" s="57">
        <f t="shared" si="3"/>
        <v>2209.6357190237927</v>
      </c>
      <c r="F26" s="57">
        <f t="shared" si="4"/>
        <v>11048.178595118963</v>
      </c>
      <c r="G26" s="56">
        <f t="shared" si="5"/>
        <v>1.0506249999999999</v>
      </c>
      <c r="H26" s="56">
        <f t="shared" si="6"/>
        <v>30</v>
      </c>
      <c r="I26" s="148">
        <f t="shared" si="7"/>
        <v>63094.892631256436</v>
      </c>
      <c r="J26" s="43"/>
      <c r="K26" s="43"/>
    </row>
    <row r="27" spans="1:11" x14ac:dyDescent="0.25">
      <c r="A27">
        <v>6</v>
      </c>
      <c r="B27">
        <f t="shared" si="0"/>
        <v>6</v>
      </c>
      <c r="C27" s="57">
        <f t="shared" si="1"/>
        <v>2500</v>
      </c>
      <c r="D27" s="16">
        <f t="shared" si="2"/>
        <v>1.1596934182128902</v>
      </c>
      <c r="E27" s="57">
        <f t="shared" si="3"/>
        <v>2155.7421649012617</v>
      </c>
      <c r="F27" s="57">
        <f t="shared" si="4"/>
        <v>12934.452989407571</v>
      </c>
      <c r="G27" s="56">
        <f t="shared" si="5"/>
        <v>1.0506249999999999</v>
      </c>
      <c r="H27" s="56">
        <f t="shared" si="6"/>
        <v>42</v>
      </c>
      <c r="I27" s="148">
        <f t="shared" si="7"/>
        <v>86178.389935374653</v>
      </c>
      <c r="J27" s="43"/>
      <c r="K27" s="43"/>
    </row>
    <row r="28" spans="1:11" x14ac:dyDescent="0.25">
      <c r="A28">
        <v>7</v>
      </c>
      <c r="B28">
        <f t="shared" si="0"/>
        <v>7</v>
      </c>
      <c r="C28" s="57">
        <f t="shared" si="1"/>
        <v>2500</v>
      </c>
      <c r="D28" s="16">
        <f t="shared" si="2"/>
        <v>1.1886857536682125</v>
      </c>
      <c r="E28" s="57">
        <f t="shared" si="3"/>
        <v>2103.1630877085477</v>
      </c>
      <c r="F28" s="57">
        <f t="shared" si="4"/>
        <v>14722.141613959833</v>
      </c>
      <c r="G28" s="56">
        <f t="shared" si="5"/>
        <v>1.0506249999999999</v>
      </c>
      <c r="H28" s="56">
        <f t="shared" si="6"/>
        <v>56</v>
      </c>
      <c r="I28" s="148">
        <f t="shared" si="7"/>
        <v>112101.97064764181</v>
      </c>
      <c r="J28" s="43"/>
      <c r="K28" s="43"/>
    </row>
    <row r="29" spans="1:11" x14ac:dyDescent="0.25">
      <c r="A29">
        <v>8</v>
      </c>
      <c r="B29">
        <f t="shared" si="0"/>
        <v>8</v>
      </c>
      <c r="C29" s="57">
        <f t="shared" si="1"/>
        <v>2500</v>
      </c>
      <c r="D29" s="16">
        <f t="shared" si="2"/>
        <v>1.2184028975099177</v>
      </c>
      <c r="E29" s="57">
        <f t="shared" si="3"/>
        <v>2051.8664270327299</v>
      </c>
      <c r="F29" s="57">
        <f t="shared" si="4"/>
        <v>16414.931416261839</v>
      </c>
      <c r="G29" s="56">
        <f t="shared" si="5"/>
        <v>1.0506249999999999</v>
      </c>
      <c r="H29" s="56">
        <f t="shared" si="6"/>
        <v>72</v>
      </c>
      <c r="I29" s="148">
        <f t="shared" si="7"/>
        <v>140615.71231063086</v>
      </c>
      <c r="J29" s="43"/>
      <c r="K29" s="43"/>
    </row>
    <row r="30" spans="1:11" x14ac:dyDescent="0.25">
      <c r="A30">
        <v>9</v>
      </c>
      <c r="B30">
        <f t="shared" si="0"/>
        <v>9</v>
      </c>
      <c r="C30" s="57">
        <f t="shared" si="1"/>
        <v>2500</v>
      </c>
      <c r="D30" s="16">
        <f t="shared" si="2"/>
        <v>1.2488629699476654</v>
      </c>
      <c r="E30" s="57">
        <f t="shared" si="3"/>
        <v>2001.8209044221755</v>
      </c>
      <c r="F30" s="57">
        <f t="shared" si="4"/>
        <v>18016.388139799579</v>
      </c>
      <c r="G30" s="56">
        <f t="shared" si="5"/>
        <v>1.0506249999999999</v>
      </c>
      <c r="H30" s="56">
        <f t="shared" si="6"/>
        <v>90</v>
      </c>
      <c r="I30" s="148">
        <f t="shared" si="7"/>
        <v>171482.57598857424</v>
      </c>
      <c r="J30" s="43"/>
      <c r="K30" s="43"/>
    </row>
    <row r="31" spans="1:11" x14ac:dyDescent="0.25">
      <c r="A31">
        <v>10</v>
      </c>
      <c r="B31">
        <f t="shared" si="0"/>
        <v>10</v>
      </c>
      <c r="C31" s="57">
        <f>$B$3*$B$4/B$7+B3</f>
        <v>102500</v>
      </c>
      <c r="D31" s="16">
        <f t="shared" si="2"/>
        <v>1.2800845441963571</v>
      </c>
      <c r="E31" s="57">
        <f t="shared" si="3"/>
        <v>80072.836176887024</v>
      </c>
      <c r="F31" s="57">
        <f t="shared" si="4"/>
        <v>800728.36176887027</v>
      </c>
      <c r="G31" s="56">
        <f t="shared" si="5"/>
        <v>1.0506249999999999</v>
      </c>
      <c r="H31" s="56">
        <f t="shared" si="6"/>
        <v>110</v>
      </c>
      <c r="I31" s="148">
        <f t="shared" si="7"/>
        <v>8383592.6038858518</v>
      </c>
      <c r="J31" s="43"/>
      <c r="K31" s="43"/>
    </row>
    <row r="32" spans="1:11" x14ac:dyDescent="0.25">
      <c r="C32" s="5"/>
      <c r="G32" s="43"/>
      <c r="H32" s="43"/>
      <c r="I32" s="43"/>
      <c r="J32" s="43"/>
      <c r="K32" s="43"/>
    </row>
    <row r="33" spans="1:11" x14ac:dyDescent="0.25">
      <c r="A33" s="58"/>
      <c r="B33" s="58"/>
      <c r="C33" s="58"/>
      <c r="D33" s="58"/>
      <c r="E33" s="58"/>
      <c r="F33" s="58"/>
      <c r="G33" s="100"/>
      <c r="H33" s="100"/>
      <c r="I33" s="100"/>
      <c r="J33" s="43"/>
      <c r="K33" s="43"/>
    </row>
    <row r="34" spans="1:11" x14ac:dyDescent="0.25">
      <c r="B34" t="s">
        <v>7</v>
      </c>
      <c r="G34" s="43"/>
      <c r="H34" s="43"/>
      <c r="I34" s="43"/>
      <c r="J34" s="43"/>
      <c r="K34" s="43"/>
    </row>
    <row r="35" spans="1:11" x14ac:dyDescent="0.25">
      <c r="B35" t="s">
        <v>7</v>
      </c>
      <c r="C35" t="s">
        <v>7</v>
      </c>
      <c r="D35" s="8" t="s">
        <v>108</v>
      </c>
      <c r="E35" s="99">
        <f>B3</f>
        <v>100000</v>
      </c>
      <c r="F35" s="98">
        <f>SUM(F22:F31)</f>
        <v>897086.55292452127</v>
      </c>
      <c r="G35" s="43"/>
      <c r="H35" s="43"/>
      <c r="I35" s="97">
        <f>SUM(I22:I31)</f>
        <v>9044928.8740522359</v>
      </c>
      <c r="J35" s="49" t="s">
        <v>74</v>
      </c>
      <c r="K35" s="43"/>
    </row>
    <row r="36" spans="1:11" x14ac:dyDescent="0.25">
      <c r="E36" s="53" t="s">
        <v>72</v>
      </c>
      <c r="F36" s="52">
        <f>F35/E35</f>
        <v>8.9708655292452129</v>
      </c>
      <c r="G36" s="44" t="s">
        <v>70</v>
      </c>
      <c r="H36" s="51"/>
      <c r="I36" s="96">
        <f>I35/E35</f>
        <v>90.449288740522363</v>
      </c>
      <c r="J36" s="49" t="s">
        <v>72</v>
      </c>
      <c r="K36" s="43"/>
    </row>
    <row r="37" spans="1:11" x14ac:dyDescent="0.25">
      <c r="H37" s="46"/>
      <c r="I37" s="43"/>
      <c r="J37" s="43"/>
      <c r="K37" s="43"/>
    </row>
    <row r="38" spans="1:11" ht="15.75" thickBot="1" x14ac:dyDescent="0.3">
      <c r="A38" s="159" t="s">
        <v>109</v>
      </c>
      <c r="B38" s="160"/>
      <c r="H38" s="43"/>
      <c r="I38" s="43"/>
      <c r="J38" s="43"/>
      <c r="K38" s="43"/>
    </row>
    <row r="39" spans="1:11" ht="15.75" thickBot="1" x14ac:dyDescent="0.3">
      <c r="A39" s="104">
        <v>1</v>
      </c>
      <c r="B39" s="103">
        <v>2</v>
      </c>
      <c r="C39" s="107">
        <v>3</v>
      </c>
      <c r="D39" s="107">
        <v>4</v>
      </c>
      <c r="E39" s="107">
        <v>5</v>
      </c>
      <c r="F39" s="107">
        <v>6</v>
      </c>
      <c r="G39" s="106">
        <v>7</v>
      </c>
      <c r="H39" s="106">
        <v>8</v>
      </c>
      <c r="I39" s="105" t="s">
        <v>84</v>
      </c>
      <c r="J39" s="43"/>
    </row>
    <row r="40" spans="1:11" ht="15.75" thickBot="1" x14ac:dyDescent="0.3">
      <c r="A40" s="104" t="s">
        <v>83</v>
      </c>
      <c r="B40" s="103" t="s">
        <v>82</v>
      </c>
      <c r="C40" s="103" t="s">
        <v>81</v>
      </c>
      <c r="D40" s="103" t="s">
        <v>80</v>
      </c>
      <c r="E40" s="103" t="s">
        <v>79</v>
      </c>
      <c r="F40" s="103" t="s">
        <v>78</v>
      </c>
      <c r="G40" s="102" t="s">
        <v>77</v>
      </c>
      <c r="H40" s="102" t="s">
        <v>76</v>
      </c>
      <c r="I40" s="101"/>
      <c r="J40" s="43"/>
    </row>
    <row r="41" spans="1:11" x14ac:dyDescent="0.25">
      <c r="A41">
        <v>1</v>
      </c>
      <c r="B41">
        <v>1</v>
      </c>
      <c r="C41" s="57">
        <f>$B$3*$B$4/B$7</f>
        <v>2500</v>
      </c>
      <c r="D41" s="16">
        <f>(1+B$6+$F$1)^B41</f>
        <v>1.0249999999999999</v>
      </c>
      <c r="E41" s="57">
        <f>C41/D41</f>
        <v>2439.0243902439029</v>
      </c>
      <c r="F41" s="57">
        <f>E41*B41</f>
        <v>2439.0243902439029</v>
      </c>
      <c r="G41" s="56">
        <f>((1+B$6+$F$1)/B$7)^2</f>
        <v>1.0506249999999999</v>
      </c>
      <c r="H41" s="56">
        <f>B41+B41^2</f>
        <v>2</v>
      </c>
      <c r="I41" s="148">
        <f>E41*H41/G41</f>
        <v>4642.9970545987444</v>
      </c>
      <c r="J41" s="43"/>
    </row>
    <row r="42" spans="1:11" x14ac:dyDescent="0.25">
      <c r="A42">
        <v>2</v>
      </c>
      <c r="B42">
        <f t="shared" ref="B42:B50" si="8">B41+1</f>
        <v>2</v>
      </c>
      <c r="C42" s="57">
        <f t="shared" ref="C42:C49" si="9">$B$3*$B$4/B$7</f>
        <v>2500</v>
      </c>
      <c r="D42" s="16">
        <f t="shared" ref="D42:D50" si="10">(1+B$6+$F$1)^B42</f>
        <v>1.0506249999999999</v>
      </c>
      <c r="E42" s="57">
        <f t="shared" ref="E42:E50" si="11">C42/D42</f>
        <v>2379.5359904818561</v>
      </c>
      <c r="F42" s="57">
        <f t="shared" ref="F42:F50" si="12">E42*B42</f>
        <v>4759.0719809637121</v>
      </c>
      <c r="G42" s="56">
        <f t="shared" ref="G42:G50" si="13">((1+B$6+$F$1)/B$7)^2</f>
        <v>1.0506249999999999</v>
      </c>
      <c r="H42" s="56">
        <f t="shared" ref="H42:H50" si="14">B42+B42^2</f>
        <v>6</v>
      </c>
      <c r="I42" s="148">
        <f t="shared" ref="I42:I50" si="15">E42*H42/G42</f>
        <v>13589.259671996324</v>
      </c>
      <c r="J42" s="43"/>
    </row>
    <row r="43" spans="1:11" x14ac:dyDescent="0.25">
      <c r="A43">
        <v>3</v>
      </c>
      <c r="B43">
        <f t="shared" si="8"/>
        <v>3</v>
      </c>
      <c r="C43" s="57">
        <f t="shared" si="9"/>
        <v>2500</v>
      </c>
      <c r="D43" s="16">
        <f t="shared" si="10"/>
        <v>1.0768906249999999</v>
      </c>
      <c r="E43" s="57">
        <f t="shared" si="11"/>
        <v>2321.4985272993722</v>
      </c>
      <c r="F43" s="57">
        <f t="shared" si="12"/>
        <v>6964.4955818981161</v>
      </c>
      <c r="G43" s="56">
        <f t="shared" si="13"/>
        <v>1.0506249999999999</v>
      </c>
      <c r="H43" s="56">
        <f t="shared" si="14"/>
        <v>12</v>
      </c>
      <c r="I43" s="148">
        <f t="shared" si="15"/>
        <v>26515.628628285514</v>
      </c>
      <c r="J43" s="43"/>
    </row>
    <row r="44" spans="1:11" x14ac:dyDescent="0.25">
      <c r="A44">
        <v>4</v>
      </c>
      <c r="B44">
        <f t="shared" si="8"/>
        <v>4</v>
      </c>
      <c r="C44" s="57">
        <f t="shared" si="9"/>
        <v>2500</v>
      </c>
      <c r="D44" s="16">
        <f t="shared" si="10"/>
        <v>1.1038128906249998</v>
      </c>
      <c r="E44" s="57">
        <f t="shared" si="11"/>
        <v>2264.8766119993875</v>
      </c>
      <c r="F44" s="57">
        <f t="shared" si="12"/>
        <v>9059.5064479975499</v>
      </c>
      <c r="G44" s="56">
        <f t="shared" si="13"/>
        <v>1.0506249999999999</v>
      </c>
      <c r="H44" s="56">
        <f t="shared" si="14"/>
        <v>20</v>
      </c>
      <c r="I44" s="148">
        <f t="shared" si="15"/>
        <v>43114.843298025226</v>
      </c>
      <c r="J44" s="43"/>
    </row>
    <row r="45" spans="1:11" x14ac:dyDescent="0.25">
      <c r="A45">
        <v>5</v>
      </c>
      <c r="B45">
        <f t="shared" si="8"/>
        <v>5</v>
      </c>
      <c r="C45" s="57">
        <f t="shared" si="9"/>
        <v>2500</v>
      </c>
      <c r="D45" s="16">
        <f t="shared" si="10"/>
        <v>1.1314082128906247</v>
      </c>
      <c r="E45" s="57">
        <f t="shared" si="11"/>
        <v>2209.6357190237927</v>
      </c>
      <c r="F45" s="57">
        <f t="shared" si="12"/>
        <v>11048.178595118963</v>
      </c>
      <c r="G45" s="56">
        <f t="shared" si="13"/>
        <v>1.0506249999999999</v>
      </c>
      <c r="H45" s="56">
        <f t="shared" si="14"/>
        <v>30</v>
      </c>
      <c r="I45" s="148">
        <f t="shared" si="15"/>
        <v>63094.892631256436</v>
      </c>
      <c r="J45" s="43"/>
    </row>
    <row r="46" spans="1:11" x14ac:dyDescent="0.25">
      <c r="A46">
        <v>6</v>
      </c>
      <c r="B46">
        <f t="shared" si="8"/>
        <v>6</v>
      </c>
      <c r="C46" s="57">
        <f t="shared" si="9"/>
        <v>2500</v>
      </c>
      <c r="D46" s="16">
        <f t="shared" si="10"/>
        <v>1.1596934182128902</v>
      </c>
      <c r="E46" s="57">
        <f t="shared" si="11"/>
        <v>2155.7421649012617</v>
      </c>
      <c r="F46" s="57">
        <f t="shared" si="12"/>
        <v>12934.452989407571</v>
      </c>
      <c r="G46" s="56">
        <f t="shared" si="13"/>
        <v>1.0506249999999999</v>
      </c>
      <c r="H46" s="56">
        <f t="shared" si="14"/>
        <v>42</v>
      </c>
      <c r="I46" s="148">
        <f t="shared" si="15"/>
        <v>86178.389935374653</v>
      </c>
      <c r="J46" s="43"/>
    </row>
    <row r="47" spans="1:11" x14ac:dyDescent="0.25">
      <c r="A47">
        <v>7</v>
      </c>
      <c r="B47">
        <f t="shared" si="8"/>
        <v>7</v>
      </c>
      <c r="C47" s="57">
        <f t="shared" si="9"/>
        <v>2500</v>
      </c>
      <c r="D47" s="16">
        <f t="shared" si="10"/>
        <v>1.1886857536682125</v>
      </c>
      <c r="E47" s="57">
        <f t="shared" si="11"/>
        <v>2103.1630877085477</v>
      </c>
      <c r="F47" s="57">
        <f t="shared" si="12"/>
        <v>14722.141613959833</v>
      </c>
      <c r="G47" s="56">
        <f t="shared" si="13"/>
        <v>1.0506249999999999</v>
      </c>
      <c r="H47" s="56">
        <f t="shared" si="14"/>
        <v>56</v>
      </c>
      <c r="I47" s="148">
        <f t="shared" si="15"/>
        <v>112101.97064764181</v>
      </c>
      <c r="J47" s="43"/>
    </row>
    <row r="48" spans="1:11" x14ac:dyDescent="0.25">
      <c r="A48">
        <v>8</v>
      </c>
      <c r="B48">
        <f t="shared" si="8"/>
        <v>8</v>
      </c>
      <c r="C48" s="57">
        <f t="shared" si="9"/>
        <v>2500</v>
      </c>
      <c r="D48" s="16">
        <f t="shared" si="10"/>
        <v>1.2184028975099177</v>
      </c>
      <c r="E48" s="57">
        <f t="shared" si="11"/>
        <v>2051.8664270327299</v>
      </c>
      <c r="F48" s="57">
        <f t="shared" si="12"/>
        <v>16414.931416261839</v>
      </c>
      <c r="G48" s="56">
        <f t="shared" si="13"/>
        <v>1.0506249999999999</v>
      </c>
      <c r="H48" s="56">
        <f t="shared" si="14"/>
        <v>72</v>
      </c>
      <c r="I48" s="148">
        <f t="shared" si="15"/>
        <v>140615.71231063086</v>
      </c>
      <c r="J48" s="43"/>
    </row>
    <row r="49" spans="1:10" x14ac:dyDescent="0.25">
      <c r="A49">
        <v>9</v>
      </c>
      <c r="B49">
        <f t="shared" si="8"/>
        <v>9</v>
      </c>
      <c r="C49" s="57">
        <f t="shared" si="9"/>
        <v>2500</v>
      </c>
      <c r="D49" s="16">
        <f t="shared" si="10"/>
        <v>1.2488629699476654</v>
      </c>
      <c r="E49" s="57">
        <f t="shared" si="11"/>
        <v>2001.8209044221755</v>
      </c>
      <c r="F49" s="57">
        <f t="shared" si="12"/>
        <v>18016.388139799579</v>
      </c>
      <c r="G49" s="56">
        <f t="shared" si="13"/>
        <v>1.0506249999999999</v>
      </c>
      <c r="H49" s="56">
        <f t="shared" si="14"/>
        <v>90</v>
      </c>
      <c r="I49" s="148">
        <f t="shared" si="15"/>
        <v>171482.57598857424</v>
      </c>
      <c r="J49" s="43"/>
    </row>
    <row r="50" spans="1:10" x14ac:dyDescent="0.25">
      <c r="A50">
        <v>10</v>
      </c>
      <c r="B50">
        <f t="shared" si="8"/>
        <v>10</v>
      </c>
      <c r="C50" s="57">
        <f>$B$3*$B$4/B$7+B$3</f>
        <v>102500</v>
      </c>
      <c r="D50" s="16">
        <f t="shared" si="10"/>
        <v>1.2800845441963571</v>
      </c>
      <c r="E50" s="57">
        <f t="shared" si="11"/>
        <v>80072.836176887024</v>
      </c>
      <c r="F50" s="57">
        <f t="shared" si="12"/>
        <v>800728.36176887027</v>
      </c>
      <c r="G50" s="56">
        <f t="shared" si="13"/>
        <v>1.0506249999999999</v>
      </c>
      <c r="H50" s="56">
        <f t="shared" si="14"/>
        <v>110</v>
      </c>
      <c r="I50" s="148">
        <f t="shared" si="15"/>
        <v>8383592.6038858518</v>
      </c>
      <c r="J50" s="43"/>
    </row>
    <row r="51" spans="1:10" x14ac:dyDescent="0.25">
      <c r="C51" s="5"/>
      <c r="G51" s="43"/>
      <c r="H51" s="43"/>
      <c r="I51" s="43"/>
      <c r="J51" s="43"/>
    </row>
    <row r="52" spans="1:10" x14ac:dyDescent="0.25">
      <c r="A52" s="58"/>
      <c r="B52" s="58"/>
      <c r="C52" s="58"/>
      <c r="D52" s="58"/>
      <c r="E52" s="58"/>
      <c r="F52" s="58"/>
      <c r="G52" s="100"/>
      <c r="H52" s="100"/>
      <c r="I52" s="100"/>
      <c r="J52" s="43"/>
    </row>
    <row r="53" spans="1:10" x14ac:dyDescent="0.25">
      <c r="B53" t="s">
        <v>7</v>
      </c>
      <c r="G53" s="43"/>
      <c r="H53" s="43"/>
      <c r="I53" s="43"/>
      <c r="J53" s="43"/>
    </row>
    <row r="54" spans="1:10" x14ac:dyDescent="0.25">
      <c r="B54" t="s">
        <v>7</v>
      </c>
      <c r="C54" t="s">
        <v>7</v>
      </c>
      <c r="D54" s="8" t="s">
        <v>108</v>
      </c>
      <c r="E54" s="99">
        <f>SUM(E41:E50)</f>
        <v>100000.00000000006</v>
      </c>
      <c r="F54" s="98">
        <f>SUM(F41:F50)</f>
        <v>897086.55292452127</v>
      </c>
      <c r="G54" s="43"/>
      <c r="H54" s="43"/>
      <c r="I54" s="97">
        <f>SUM(I41:I50)</f>
        <v>9044928.8740522359</v>
      </c>
      <c r="J54" s="49" t="s">
        <v>74</v>
      </c>
    </row>
    <row r="55" spans="1:10" x14ac:dyDescent="0.25">
      <c r="E55" s="53" t="s">
        <v>72</v>
      </c>
      <c r="F55" s="52">
        <f>F54/E54</f>
        <v>8.9708655292452075</v>
      </c>
      <c r="G55" s="44" t="s">
        <v>70</v>
      </c>
      <c r="H55" s="51"/>
      <c r="I55" s="96">
        <f>I54/E54</f>
        <v>90.449288740522306</v>
      </c>
      <c r="J55" s="49" t="s">
        <v>72</v>
      </c>
    </row>
    <row r="56" spans="1:10" x14ac:dyDescent="0.25">
      <c r="H56" s="46"/>
      <c r="I56" s="43"/>
      <c r="J56" s="43"/>
    </row>
  </sheetData>
  <mergeCells count="2">
    <mergeCell ref="A38:B38"/>
    <mergeCell ref="A19:B19"/>
  </mergeCells>
  <dataValidations count="2">
    <dataValidation type="whole" allowBlank="1" showErrorMessage="1" error="These calculations only work on a payment date, so this value must be a positive integer between 1 and 20." prompt="The life of the bond must be between 1 and 20 years." sqref="B5">
      <formula1>1</formula1>
      <formula2>20</formula2>
    </dataValidation>
    <dataValidation type="custom" allowBlank="1" showInputMessage="1" showErrorMessage="1" error="The frequency is restricted to either 1 or 2 (annual or semiannual)." sqref="B7">
      <formula1>OR(B7=1,B7=2)=TRUE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33"/>
  <sheetViews>
    <sheetView tabSelected="1" topLeftCell="A13" zoomScale="115" zoomScaleNormal="115" workbookViewId="0">
      <selection activeCell="E28" sqref="E28"/>
    </sheetView>
  </sheetViews>
  <sheetFormatPr defaultColWidth="8.85546875" defaultRowHeight="15" x14ac:dyDescent="0.25"/>
  <cols>
    <col min="1" max="1" width="23" customWidth="1"/>
    <col min="2" max="2" width="15.5703125" customWidth="1"/>
    <col min="3" max="3" width="19.5703125" customWidth="1"/>
    <col min="4" max="4" width="9.85546875" customWidth="1"/>
    <col min="5" max="5" width="10.28515625" customWidth="1"/>
    <col min="6" max="6" width="12.85546875" customWidth="1"/>
    <col min="7" max="7" width="11.28515625" customWidth="1"/>
    <col min="8" max="8" width="14.85546875" customWidth="1"/>
    <col min="9" max="9" width="17.85546875" customWidth="1"/>
    <col min="10" max="10" width="19.5703125" customWidth="1"/>
    <col min="11" max="11" width="13.28515625" customWidth="1"/>
    <col min="12" max="12" width="14.5703125" bestFit="1" customWidth="1"/>
  </cols>
  <sheetData>
    <row r="1" spans="1:12" x14ac:dyDescent="0.25">
      <c r="A1" s="136" t="s">
        <v>140</v>
      </c>
      <c r="B1" s="16">
        <f>'Immunize Part 1'!F9</f>
        <v>100000</v>
      </c>
    </row>
    <row r="2" spans="1:12" x14ac:dyDescent="0.25">
      <c r="A2" s="7"/>
    </row>
    <row r="3" spans="1:12" x14ac:dyDescent="0.25">
      <c r="A3" s="136" t="s">
        <v>139</v>
      </c>
      <c r="B3" s="16">
        <f>IF('Immunize Part 1'!F1=0,'Immunize Part 1'!B9,'Immunize Part 1'!B12)</f>
        <v>8.9708655292452129</v>
      </c>
      <c r="H3" t="s">
        <v>7</v>
      </c>
    </row>
    <row r="5" spans="1:12" x14ac:dyDescent="0.25">
      <c r="A5" s="134" t="s">
        <v>134</v>
      </c>
      <c r="B5" s="161" t="s">
        <v>133</v>
      </c>
      <c r="C5" s="162"/>
      <c r="D5" s="134"/>
      <c r="E5" s="134"/>
      <c r="F5" s="134"/>
      <c r="G5" s="134"/>
      <c r="H5" s="134"/>
      <c r="I5" s="134"/>
      <c r="J5" s="134"/>
      <c r="K5" s="134"/>
    </row>
    <row r="6" spans="1:12" x14ac:dyDescent="0.25">
      <c r="A6" s="136" t="s">
        <v>132</v>
      </c>
      <c r="B6" s="136" t="s">
        <v>131</v>
      </c>
      <c r="C6" s="136" t="s">
        <v>130</v>
      </c>
      <c r="D6" s="136" t="s">
        <v>129</v>
      </c>
      <c r="E6" s="136" t="s">
        <v>100</v>
      </c>
      <c r="F6" s="136" t="s">
        <v>97</v>
      </c>
      <c r="G6" s="136" t="s">
        <v>128</v>
      </c>
      <c r="H6" s="136" t="s">
        <v>127</v>
      </c>
      <c r="I6" s="136" t="s">
        <v>126</v>
      </c>
      <c r="J6" s="136" t="s">
        <v>138</v>
      </c>
      <c r="K6" s="136" t="s">
        <v>137</v>
      </c>
    </row>
    <row r="7" spans="1:12" x14ac:dyDescent="0.25">
      <c r="A7" s="134">
        <v>1</v>
      </c>
      <c r="B7" s="133">
        <v>45078</v>
      </c>
      <c r="C7" s="133">
        <v>49628</v>
      </c>
      <c r="D7" s="132">
        <v>6.7500000000000004E-2</v>
      </c>
      <c r="E7" s="139">
        <v>5.1249999999999997E-2</v>
      </c>
      <c r="F7" s="9">
        <v>2</v>
      </c>
      <c r="G7" s="16">
        <f>PRICE(B7,C7,D7,E7,100,F7)</f>
        <v>114.82197202390732</v>
      </c>
      <c r="H7" s="16">
        <f>DURATION(B7,C7,D7,E7,F7)</f>
        <v>8.8792393341959919</v>
      </c>
      <c r="I7" s="114">
        <v>3.3432530199318702E-2</v>
      </c>
      <c r="J7" s="155">
        <f>$B$1*I7</f>
        <v>3343.2530199318703</v>
      </c>
      <c r="K7" s="129">
        <f>J7/(G7/100)</f>
        <v>2911.6840278929931</v>
      </c>
      <c r="L7" s="6" t="s">
        <v>7</v>
      </c>
    </row>
    <row r="8" spans="1:12" x14ac:dyDescent="0.25">
      <c r="A8" s="134">
        <v>2</v>
      </c>
      <c r="B8" s="133">
        <v>45078</v>
      </c>
      <c r="C8" s="133">
        <v>49049</v>
      </c>
      <c r="D8" s="132">
        <v>6.1249999999999999E-2</v>
      </c>
      <c r="E8" s="139">
        <v>3.2500000000000001E-2</v>
      </c>
      <c r="F8" s="9">
        <v>2</v>
      </c>
      <c r="G8" s="16">
        <f t="shared" ref="G8:G11" si="0">PRICE(B8,C8,D8,E8,100,F8)</f>
        <v>126.15065375414403</v>
      </c>
      <c r="H8" s="16">
        <f t="shared" ref="H8:H11" si="1">DURATION(B8,C8,D8,E8,F8)</f>
        <v>8.3912616666787425</v>
      </c>
      <c r="I8" s="114">
        <v>0.24480042804079555</v>
      </c>
      <c r="J8" s="155">
        <f t="shared" ref="J8:J11" si="2">$B$1*I8</f>
        <v>24480.042804079556</v>
      </c>
      <c r="K8" s="129">
        <f t="shared" ref="K8:K11" si="3">J8/(G8/100)</f>
        <v>19405.403044354331</v>
      </c>
      <c r="L8" s="6" t="s">
        <v>7</v>
      </c>
    </row>
    <row r="9" spans="1:12" x14ac:dyDescent="0.25">
      <c r="A9" s="134">
        <v>3</v>
      </c>
      <c r="B9" s="133">
        <v>45078</v>
      </c>
      <c r="C9" s="133">
        <v>49263</v>
      </c>
      <c r="D9" s="132">
        <v>7.0000000000000007E-2</v>
      </c>
      <c r="E9" s="139">
        <v>3.5000000000000003E-2</v>
      </c>
      <c r="F9" s="9">
        <v>2</v>
      </c>
      <c r="G9" s="16">
        <f t="shared" si="0"/>
        <v>132.79617898779969</v>
      </c>
      <c r="H9" s="16">
        <f t="shared" si="1"/>
        <v>8.5438422761590669</v>
      </c>
      <c r="I9" s="114">
        <v>0.23079226654348969</v>
      </c>
      <c r="J9" s="155">
        <f t="shared" si="2"/>
        <v>23079.226654348968</v>
      </c>
      <c r="K9" s="129">
        <f t="shared" si="3"/>
        <v>17379.435786679758</v>
      </c>
      <c r="L9" s="6" t="s">
        <v>7</v>
      </c>
    </row>
    <row r="10" spans="1:12" x14ac:dyDescent="0.25">
      <c r="A10" s="134">
        <v>4</v>
      </c>
      <c r="B10" s="133">
        <v>45078</v>
      </c>
      <c r="C10" s="133">
        <v>49675</v>
      </c>
      <c r="D10" s="132">
        <v>8.2250000000000004E-2</v>
      </c>
      <c r="E10" s="139">
        <v>4.5499999999999999E-2</v>
      </c>
      <c r="F10" s="9">
        <v>2</v>
      </c>
      <c r="G10" s="16">
        <f t="shared" si="0"/>
        <v>134.90844534587185</v>
      </c>
      <c r="H10" s="16">
        <f t="shared" si="1"/>
        <v>8.5273788554522465</v>
      </c>
      <c r="I10" s="114">
        <v>0.23230373519147204</v>
      </c>
      <c r="J10" s="155">
        <f t="shared" si="2"/>
        <v>23230.373519147204</v>
      </c>
      <c r="K10" s="129">
        <f t="shared" si="3"/>
        <v>17219.361960320777</v>
      </c>
      <c r="L10" s="6" t="s">
        <v>7</v>
      </c>
    </row>
    <row r="11" spans="1:12" x14ac:dyDescent="0.25">
      <c r="A11" s="134">
        <v>5</v>
      </c>
      <c r="B11" s="133">
        <v>45078</v>
      </c>
      <c r="C11" s="133">
        <v>49232</v>
      </c>
      <c r="D11" s="132">
        <v>7.7499999999999999E-2</v>
      </c>
      <c r="E11" s="139">
        <v>0.04</v>
      </c>
      <c r="F11" s="9">
        <v>2</v>
      </c>
      <c r="G11" s="16">
        <f t="shared" si="0"/>
        <v>133.98896501047972</v>
      </c>
      <c r="H11" s="16">
        <f t="shared" si="1"/>
        <v>8.2401804329649178</v>
      </c>
      <c r="I11" s="114">
        <v>0.25867104002492408</v>
      </c>
      <c r="J11" s="155">
        <f t="shared" si="2"/>
        <v>25867.104002492408</v>
      </c>
      <c r="K11" s="129">
        <f t="shared" si="3"/>
        <v>19305.398769569758</v>
      </c>
      <c r="L11" s="6" t="s">
        <v>7</v>
      </c>
    </row>
    <row r="12" spans="1:12" x14ac:dyDescent="0.25">
      <c r="E12" s="128"/>
    </row>
    <row r="13" spans="1:12" ht="30" x14ac:dyDescent="0.25">
      <c r="G13" s="127" t="s">
        <v>123</v>
      </c>
      <c r="H13" s="138">
        <f>SUMPRODUCT(H7:H11,I7:I11)</f>
        <v>8.435330611000003</v>
      </c>
      <c r="I13" s="137">
        <f>SUM(I7:I11)</f>
        <v>1</v>
      </c>
      <c r="J13" s="137">
        <f>SUM(J7:J11)</f>
        <v>100000</v>
      </c>
      <c r="K13" s="124" t="s">
        <v>122</v>
      </c>
    </row>
    <row r="14" spans="1:12" x14ac:dyDescent="0.25">
      <c r="H14" s="123" t="s">
        <v>7</v>
      </c>
      <c r="I14" s="123" t="s">
        <v>7</v>
      </c>
      <c r="J14" s="122" t="s">
        <v>7</v>
      </c>
    </row>
    <row r="15" spans="1:12" x14ac:dyDescent="0.25">
      <c r="H15" s="15"/>
      <c r="I15" s="15"/>
      <c r="J15" s="15"/>
    </row>
    <row r="16" spans="1:12" x14ac:dyDescent="0.25">
      <c r="H16" s="15"/>
      <c r="I16" s="15"/>
      <c r="J16" s="15"/>
    </row>
    <row r="17" spans="1:11" x14ac:dyDescent="0.25">
      <c r="H17" s="15"/>
      <c r="I17" s="15"/>
      <c r="J17" s="15"/>
    </row>
    <row r="18" spans="1:11" x14ac:dyDescent="0.25">
      <c r="A18" s="7" t="s">
        <v>136</v>
      </c>
      <c r="B18" s="88">
        <v>0</v>
      </c>
      <c r="C18" s="7" t="s">
        <v>135</v>
      </c>
      <c r="D18" s="7"/>
    </row>
    <row r="20" spans="1:11" x14ac:dyDescent="0.25">
      <c r="A20" s="134" t="s">
        <v>134</v>
      </c>
      <c r="B20" s="161" t="s">
        <v>133</v>
      </c>
      <c r="C20" s="162"/>
      <c r="D20" s="134"/>
      <c r="E20" s="134"/>
      <c r="F20" s="134"/>
      <c r="G20" s="134"/>
      <c r="H20" s="134"/>
      <c r="I20" s="134"/>
      <c r="J20" s="134"/>
      <c r="K20" s="134"/>
    </row>
    <row r="21" spans="1:11" ht="30" x14ac:dyDescent="0.25">
      <c r="A21" s="134" t="s">
        <v>132</v>
      </c>
      <c r="B21" s="136" t="s">
        <v>131</v>
      </c>
      <c r="C21" s="136" t="s">
        <v>130</v>
      </c>
      <c r="D21" s="136" t="s">
        <v>129</v>
      </c>
      <c r="E21" s="136" t="s">
        <v>100</v>
      </c>
      <c r="F21" s="136" t="s">
        <v>97</v>
      </c>
      <c r="G21" s="136" t="s">
        <v>128</v>
      </c>
      <c r="H21" s="136" t="s">
        <v>127</v>
      </c>
      <c r="I21" s="136" t="s">
        <v>126</v>
      </c>
      <c r="J21" s="135" t="s">
        <v>125</v>
      </c>
      <c r="K21" s="135" t="s">
        <v>124</v>
      </c>
    </row>
    <row r="22" spans="1:11" x14ac:dyDescent="0.25">
      <c r="A22" s="134">
        <v>1</v>
      </c>
      <c r="B22" s="133">
        <v>45078</v>
      </c>
      <c r="C22" s="133">
        <v>49628</v>
      </c>
      <c r="D22" s="132">
        <v>6.7500000000000004E-2</v>
      </c>
      <c r="E22" s="131">
        <f>E7+$B$18</f>
        <v>5.1249999999999997E-2</v>
      </c>
      <c r="F22" s="9">
        <v>2</v>
      </c>
      <c r="G22" s="16">
        <f>PRICE(B22,C22,D22,E22,100,F22)</f>
        <v>114.82197202390732</v>
      </c>
      <c r="H22" s="16">
        <f>DURATION(B22,C22,D22,E22,F22)</f>
        <v>8.8792393341959919</v>
      </c>
      <c r="I22" s="130">
        <f>I7</f>
        <v>3.3432530199318702E-2</v>
      </c>
      <c r="J22" s="130">
        <f>K22*G22/100</f>
        <v>3343.2530199318662</v>
      </c>
      <c r="K22" s="129">
        <v>2911.6840278929894</v>
      </c>
    </row>
    <row r="23" spans="1:11" x14ac:dyDescent="0.25">
      <c r="A23" s="134">
        <v>2</v>
      </c>
      <c r="B23" s="133">
        <v>45078</v>
      </c>
      <c r="C23" s="133">
        <v>49049</v>
      </c>
      <c r="D23" s="132">
        <v>6.1249999999999999E-2</v>
      </c>
      <c r="E23" s="131">
        <f t="shared" ref="E23:E26" si="4">E8+$B$18</f>
        <v>3.2500000000000001E-2</v>
      </c>
      <c r="F23" s="9">
        <v>2</v>
      </c>
      <c r="G23" s="16">
        <f t="shared" ref="G23:G26" si="5">PRICE(B23,C23,D23,E23,100,F23)</f>
        <v>126.15065375414403</v>
      </c>
      <c r="H23" s="16">
        <f t="shared" ref="H23:H26" si="6">DURATION(B23,C23,D23,E23,F23)</f>
        <v>8.3912616666787425</v>
      </c>
      <c r="I23" s="130">
        <f t="shared" ref="I23:I26" si="7">I8</f>
        <v>0.24480042804079555</v>
      </c>
      <c r="J23" s="130">
        <f t="shared" ref="J23:J26" si="8">K23*G23/100</f>
        <v>24480.04280407956</v>
      </c>
      <c r="K23" s="129">
        <v>19405.403044354331</v>
      </c>
    </row>
    <row r="24" spans="1:11" x14ac:dyDescent="0.25">
      <c r="A24" s="134">
        <v>3</v>
      </c>
      <c r="B24" s="133">
        <v>45078</v>
      </c>
      <c r="C24" s="133">
        <v>49263</v>
      </c>
      <c r="D24" s="132">
        <v>7.0000000000000007E-2</v>
      </c>
      <c r="E24" s="131">
        <f t="shared" si="4"/>
        <v>3.5000000000000003E-2</v>
      </c>
      <c r="F24" s="9">
        <v>2</v>
      </c>
      <c r="G24" s="16">
        <f t="shared" si="5"/>
        <v>132.79617898779969</v>
      </c>
      <c r="H24" s="16">
        <f t="shared" si="6"/>
        <v>8.5438422761590669</v>
      </c>
      <c r="I24" s="130">
        <f t="shared" si="7"/>
        <v>0.23079226654348969</v>
      </c>
      <c r="J24" s="130">
        <f t="shared" si="8"/>
        <v>23079.226654348964</v>
      </c>
      <c r="K24" s="129">
        <v>17379.435786679758</v>
      </c>
    </row>
    <row r="25" spans="1:11" x14ac:dyDescent="0.25">
      <c r="A25" s="134">
        <v>4</v>
      </c>
      <c r="B25" s="133">
        <v>45078</v>
      </c>
      <c r="C25" s="133">
        <v>49675</v>
      </c>
      <c r="D25" s="132">
        <v>8.2250000000000004E-2</v>
      </c>
      <c r="E25" s="131">
        <f t="shared" si="4"/>
        <v>4.5499999999999999E-2</v>
      </c>
      <c r="F25" s="9">
        <v>2</v>
      </c>
      <c r="G25" s="16">
        <f t="shared" si="5"/>
        <v>134.90844534587185</v>
      </c>
      <c r="H25" s="16">
        <f t="shared" si="6"/>
        <v>8.5273788554522465</v>
      </c>
      <c r="I25" s="130">
        <f t="shared" si="7"/>
        <v>0.23230373519147204</v>
      </c>
      <c r="J25" s="130">
        <f t="shared" si="8"/>
        <v>23230.373519147208</v>
      </c>
      <c r="K25" s="129">
        <v>17219.361960320777</v>
      </c>
    </row>
    <row r="26" spans="1:11" x14ac:dyDescent="0.25">
      <c r="A26" s="134">
        <v>5</v>
      </c>
      <c r="B26" s="133">
        <v>45078</v>
      </c>
      <c r="C26" s="133">
        <v>49232</v>
      </c>
      <c r="D26" s="132">
        <v>7.7499999999999999E-2</v>
      </c>
      <c r="E26" s="131">
        <f t="shared" si="4"/>
        <v>0.04</v>
      </c>
      <c r="F26" s="9">
        <v>2</v>
      </c>
      <c r="G26" s="16">
        <f t="shared" si="5"/>
        <v>133.98896501047972</v>
      </c>
      <c r="H26" s="16">
        <f t="shared" si="6"/>
        <v>8.2401804329649178</v>
      </c>
      <c r="I26" s="130">
        <f t="shared" si="7"/>
        <v>0.25867104002492408</v>
      </c>
      <c r="J26" s="130">
        <f t="shared" si="8"/>
        <v>25867.104002492404</v>
      </c>
      <c r="K26" s="129">
        <v>19305.398769569758</v>
      </c>
    </row>
    <row r="27" spans="1:11" x14ac:dyDescent="0.25">
      <c r="E27" s="128"/>
      <c r="I27" s="156"/>
    </row>
    <row r="28" spans="1:11" ht="30" x14ac:dyDescent="0.25">
      <c r="G28" s="127" t="s">
        <v>123</v>
      </c>
      <c r="H28" s="126">
        <f>SUMPRODUCT(H22:H26,I22:I26)</f>
        <v>8.435330611000003</v>
      </c>
      <c r="I28" s="157">
        <f>SUM(I22:I26)</f>
        <v>1</v>
      </c>
      <c r="J28" s="125">
        <f>SUM(J22:J26)</f>
        <v>100000</v>
      </c>
      <c r="K28" s="124" t="s">
        <v>122</v>
      </c>
    </row>
    <row r="29" spans="1:11" x14ac:dyDescent="0.25">
      <c r="H29" s="123" t="s">
        <v>7</v>
      </c>
      <c r="I29" s="123" t="s">
        <v>7</v>
      </c>
      <c r="J29" s="122" t="s">
        <v>7</v>
      </c>
    </row>
    <row r="31" spans="1:11" ht="30" x14ac:dyDescent="0.25">
      <c r="I31" s="121" t="s">
        <v>121</v>
      </c>
      <c r="J31" s="120">
        <f>'Immunize Part 1'!F9</f>
        <v>100000</v>
      </c>
    </row>
    <row r="32" spans="1:11" x14ac:dyDescent="0.25">
      <c r="I32" s="118" t="s">
        <v>120</v>
      </c>
      <c r="J32" s="119">
        <f>J31-J28</f>
        <v>0</v>
      </c>
    </row>
    <row r="33" spans="9:10" x14ac:dyDescent="0.25">
      <c r="I33" s="118" t="s">
        <v>119</v>
      </c>
      <c r="J33" s="117">
        <f>J32/J31</f>
        <v>0</v>
      </c>
    </row>
  </sheetData>
  <mergeCells count="2">
    <mergeCell ref="B5:C5"/>
    <mergeCell ref="B20:C2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showRowColHeaders="0" workbookViewId="0">
      <selection activeCell="B28" sqref="B28"/>
    </sheetView>
  </sheetViews>
  <sheetFormatPr defaultColWidth="8.85546875"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8"/>
  <sheetViews>
    <sheetView workbookViewId="0">
      <selection activeCell="D22" sqref="D22"/>
    </sheetView>
  </sheetViews>
  <sheetFormatPr defaultColWidth="8.85546875" defaultRowHeight="15" x14ac:dyDescent="0.25"/>
  <cols>
    <col min="1" max="1" width="26.85546875" customWidth="1"/>
    <col min="2" max="2" width="25.42578125" customWidth="1"/>
    <col min="3" max="3" width="26" customWidth="1"/>
    <col min="4" max="4" width="25.42578125" customWidth="1"/>
  </cols>
  <sheetData>
    <row r="1" spans="1:4" x14ac:dyDescent="0.25">
      <c r="A1" t="s">
        <v>0</v>
      </c>
      <c r="B1" t="s">
        <v>1</v>
      </c>
      <c r="C1" t="s">
        <v>2</v>
      </c>
      <c r="D1" t="s">
        <v>3</v>
      </c>
    </row>
    <row r="2" spans="1:4" x14ac:dyDescent="0.25">
      <c r="A2" s="1">
        <v>44577</v>
      </c>
      <c r="B2" s="2">
        <v>0.66199074074074071</v>
      </c>
      <c r="C2" t="s">
        <v>5</v>
      </c>
      <c r="D2" t="s">
        <v>6</v>
      </c>
    </row>
    <row r="3" spans="1:4" x14ac:dyDescent="0.25">
      <c r="A3" s="1">
        <v>44577</v>
      </c>
      <c r="B3" s="2">
        <v>0.67734953703703704</v>
      </c>
    </row>
    <row r="4" spans="1:4" x14ac:dyDescent="0.25">
      <c r="A4" s="1">
        <v>44577</v>
      </c>
      <c r="B4" s="2">
        <v>0.68106481481481485</v>
      </c>
    </row>
    <row r="5" spans="1:4" x14ac:dyDescent="0.25">
      <c r="A5" s="1">
        <v>44577</v>
      </c>
      <c r="B5" s="2">
        <v>0.68758101851851849</v>
      </c>
      <c r="C5" t="s">
        <v>141</v>
      </c>
      <c r="D5" t="s">
        <v>142</v>
      </c>
    </row>
    <row r="6" spans="1:4" x14ac:dyDescent="0.25">
      <c r="A6" s="1">
        <v>44577</v>
      </c>
      <c r="B6" s="2">
        <v>0.6921180555555555</v>
      </c>
      <c r="C6" t="s">
        <v>141</v>
      </c>
      <c r="D6" t="s">
        <v>142</v>
      </c>
    </row>
    <row r="7" spans="1:4" x14ac:dyDescent="0.25">
      <c r="A7" s="1">
        <v>44578</v>
      </c>
      <c r="B7" s="2">
        <v>0.8847222222222223</v>
      </c>
      <c r="C7" t="s">
        <v>5</v>
      </c>
      <c r="D7" t="s">
        <v>143</v>
      </c>
    </row>
    <row r="8" spans="1:4" x14ac:dyDescent="0.25">
      <c r="A8" s="1">
        <v>44578</v>
      </c>
      <c r="B8" s="2">
        <v>0.88846064814814818</v>
      </c>
      <c r="C8" t="s">
        <v>5</v>
      </c>
      <c r="D8" t="s">
        <v>143</v>
      </c>
    </row>
    <row r="9" spans="1:4" x14ac:dyDescent="0.25">
      <c r="A9" s="1">
        <v>44578</v>
      </c>
      <c r="B9" s="2">
        <v>0.92079861111111105</v>
      </c>
      <c r="C9" t="s">
        <v>5</v>
      </c>
      <c r="D9" t="s">
        <v>143</v>
      </c>
    </row>
    <row r="10" spans="1:4" x14ac:dyDescent="0.25">
      <c r="A10" s="1">
        <v>44579</v>
      </c>
      <c r="B10" s="2">
        <v>0.80293981481481491</v>
      </c>
      <c r="C10" t="s">
        <v>5</v>
      </c>
      <c r="D10" t="s">
        <v>143</v>
      </c>
    </row>
    <row r="11" spans="1:4" x14ac:dyDescent="0.25">
      <c r="A11" s="1">
        <v>44579</v>
      </c>
      <c r="B11" s="2">
        <v>0.8279050925925926</v>
      </c>
      <c r="C11" t="s">
        <v>5</v>
      </c>
      <c r="D11" t="s">
        <v>143</v>
      </c>
    </row>
    <row r="12" spans="1:4" x14ac:dyDescent="0.25">
      <c r="A12" s="1">
        <v>44580</v>
      </c>
      <c r="B12" s="2">
        <v>0.68456018518518524</v>
      </c>
      <c r="C12" t="s">
        <v>144</v>
      </c>
      <c r="D12" t="s">
        <v>145</v>
      </c>
    </row>
    <row r="13" spans="1:4" x14ac:dyDescent="0.25">
      <c r="A13" s="1">
        <v>44580</v>
      </c>
      <c r="B13" s="2">
        <v>0.68549768518518517</v>
      </c>
      <c r="C13" t="s">
        <v>144</v>
      </c>
      <c r="D13" t="s">
        <v>145</v>
      </c>
    </row>
    <row r="14" spans="1:4" x14ac:dyDescent="0.25">
      <c r="A14" s="1">
        <v>44703</v>
      </c>
      <c r="B14" s="2">
        <v>0.60365740740740736</v>
      </c>
      <c r="C14" t="s">
        <v>5</v>
      </c>
      <c r="D14" t="s">
        <v>143</v>
      </c>
    </row>
    <row r="15" spans="1:4" x14ac:dyDescent="0.25">
      <c r="A15" s="1">
        <v>44703</v>
      </c>
      <c r="B15" s="2">
        <v>0.62106481481481479</v>
      </c>
      <c r="C15" t="s">
        <v>5</v>
      </c>
      <c r="D15" t="s">
        <v>143</v>
      </c>
    </row>
    <row r="16" spans="1:4" x14ac:dyDescent="0.25">
      <c r="A16" s="1">
        <v>44821</v>
      </c>
      <c r="B16" s="2">
        <v>0.86707175925925928</v>
      </c>
      <c r="C16" t="s">
        <v>5</v>
      </c>
      <c r="D16" t="s">
        <v>143</v>
      </c>
    </row>
    <row r="17" spans="1:4" x14ac:dyDescent="0.25">
      <c r="A17" s="1">
        <v>44947</v>
      </c>
      <c r="B17" s="2">
        <v>0.73445601851851849</v>
      </c>
      <c r="C17" t="s">
        <v>5</v>
      </c>
      <c r="D17" t="s">
        <v>143</v>
      </c>
    </row>
    <row r="18" spans="1:4" x14ac:dyDescent="0.25">
      <c r="A18" s="1">
        <v>44947</v>
      </c>
      <c r="B18" s="2">
        <v>0.73929398148148151</v>
      </c>
      <c r="C18" t="s">
        <v>5</v>
      </c>
      <c r="D18" t="s">
        <v>143</v>
      </c>
    </row>
    <row r="19" spans="1:4" x14ac:dyDescent="0.25">
      <c r="A19" s="1">
        <v>45067</v>
      </c>
      <c r="B19" s="2">
        <v>0.7944444444444444</v>
      </c>
      <c r="C19" t="s">
        <v>5</v>
      </c>
      <c r="D19" t="s">
        <v>143</v>
      </c>
    </row>
    <row r="20" spans="1:4" x14ac:dyDescent="0.25">
      <c r="A20" s="1">
        <v>45185</v>
      </c>
      <c r="B20" s="2">
        <v>0.63313657407407409</v>
      </c>
      <c r="C20" t="s">
        <v>5</v>
      </c>
      <c r="D20" t="s">
        <v>143</v>
      </c>
    </row>
    <row r="21" spans="1:4" x14ac:dyDescent="0.25">
      <c r="A21" s="1">
        <v>45312</v>
      </c>
      <c r="B21" s="2">
        <v>0.95024305555555555</v>
      </c>
      <c r="C21" t="s">
        <v>5</v>
      </c>
      <c r="D21" t="s">
        <v>143</v>
      </c>
    </row>
    <row r="22" spans="1:4" x14ac:dyDescent="0.25">
      <c r="A22" s="1">
        <v>45438</v>
      </c>
      <c r="B22" s="2">
        <v>0.67410879629629628</v>
      </c>
      <c r="C22" t="s">
        <v>5</v>
      </c>
      <c r="D22" t="s">
        <v>143</v>
      </c>
    </row>
    <row r="23" spans="1:4" x14ac:dyDescent="0.25">
      <c r="A23" s="1">
        <v>45536</v>
      </c>
      <c r="B23" s="2">
        <v>0.86372685185185183</v>
      </c>
      <c r="C23" t="s">
        <v>5</v>
      </c>
      <c r="D23" t="s">
        <v>143</v>
      </c>
    </row>
    <row r="24" spans="1:4" x14ac:dyDescent="0.25">
      <c r="A24" s="1">
        <v>45676</v>
      </c>
      <c r="B24" s="2">
        <v>0.88362268518518516</v>
      </c>
      <c r="C24" t="s">
        <v>5</v>
      </c>
      <c r="D24" t="s">
        <v>143</v>
      </c>
    </row>
    <row r="25" spans="1:4" x14ac:dyDescent="0.25">
      <c r="A25" s="1">
        <v>45803</v>
      </c>
      <c r="B25" s="2">
        <v>0.63664351851851853</v>
      </c>
      <c r="C25" t="s">
        <v>5</v>
      </c>
      <c r="D25" t="s">
        <v>143</v>
      </c>
    </row>
    <row r="26" spans="1:4" x14ac:dyDescent="0.25">
      <c r="A26" s="1">
        <v>45809</v>
      </c>
      <c r="B26" s="2">
        <v>0.76924768518518516</v>
      </c>
      <c r="C26" t="s">
        <v>155</v>
      </c>
      <c r="D26" t="s">
        <v>156</v>
      </c>
    </row>
    <row r="27" spans="1:4" x14ac:dyDescent="0.25">
      <c r="A27" s="1">
        <v>45816</v>
      </c>
      <c r="B27" s="2">
        <v>0.80777777777777782</v>
      </c>
      <c r="C27" t="s">
        <v>155</v>
      </c>
      <c r="D27" t="s">
        <v>156</v>
      </c>
    </row>
    <row r="28" spans="1:4" x14ac:dyDescent="0.25">
      <c r="A28" s="1">
        <v>45822</v>
      </c>
      <c r="B28" s="2">
        <v>0.99384259259259267</v>
      </c>
      <c r="C28" t="s">
        <v>155</v>
      </c>
      <c r="D28" t="s">
        <v>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Information</vt:lpstr>
      <vt:lpstr>Price the bond basics</vt:lpstr>
      <vt:lpstr>Variable timeline</vt:lpstr>
      <vt:lpstr>Par_premium_discount</vt:lpstr>
      <vt:lpstr>Finding_YTM</vt:lpstr>
      <vt:lpstr>Duration Formula</vt:lpstr>
      <vt:lpstr>Convexity formula</vt:lpstr>
      <vt:lpstr>Duration_Convexity</vt:lpstr>
      <vt:lpstr>Graph_Duration_Convexity</vt:lpstr>
      <vt:lpstr>Immunize Part 1</vt:lpstr>
      <vt:lpstr>Immunize Part 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Alok</cp:lastModifiedBy>
  <dcterms:created xsi:type="dcterms:W3CDTF">2018-07-30T15:58:40Z</dcterms:created>
  <dcterms:modified xsi:type="dcterms:W3CDTF">2025-06-14T18:21:08Z</dcterms:modified>
</cp:coreProperties>
</file>