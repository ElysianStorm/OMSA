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tvault.sharepoint.com/sites/MGT8813Group39/Shared Documents/General/"/>
    </mc:Choice>
  </mc:AlternateContent>
  <xr:revisionPtr revIDLastSave="0" documentId="8_{012460EA-5680-472E-9F1D-F22FBF81B87A}" xr6:coauthVersionLast="47" xr6:coauthVersionMax="47" xr10:uidLastSave="{00000000-0000-0000-0000-000000000000}"/>
  <bookViews>
    <workbookView xWindow="-28920" yWindow="1965" windowWidth="29040" windowHeight="15720" firstSheet="9" activeTab="9" xr2:uid="{00000000-000D-0000-FFFF-FFFF00000000}"/>
  </bookViews>
  <sheets>
    <sheet name="Input_Sheet" sheetId="31" r:id="rId1"/>
    <sheet name="Historicals --&gt;" sheetId="18" r:id="rId2"/>
    <sheet name="Income Statement" sheetId="1" r:id="rId3"/>
    <sheet name="Balance Sheet" sheetId="2" r:id="rId4"/>
    <sheet name="Forecasts --&gt;" sheetId="19" r:id="rId5"/>
    <sheet name="IS Hist Forecast" sheetId="4" r:id="rId6"/>
    <sheet name="CF Statement Forecast" sheetId="3" r:id="rId7"/>
    <sheet name="BAL Hist Forecast" sheetId="5" r:id="rId8"/>
    <sheet name="Valuations --&gt;" sheetId="20" r:id="rId9"/>
    <sheet name="DCF Analysis" sheetId="7" r:id="rId10"/>
    <sheet name="Support --&gt;" sheetId="10" r:id="rId11"/>
    <sheet name="Supporting Schedules" sheetId="6" r:id="rId12"/>
    <sheet name="Comparable_Analysis_Football--&gt;" sheetId="32" r:id="rId13"/>
    <sheet name="Football Field" sheetId="17" r:id="rId14"/>
    <sheet name="Multiple Valuation" sheetId="16" r:id="rId15"/>
    <sheet name="WACC_Growth_Sensitivity--&gt;" sheetId="33" r:id="rId16"/>
    <sheet name="WACC and Growth" sheetId="13" r:id="rId17"/>
    <sheet name="MV Debt and Weighted YTM (Rd)" sheetId="34" r:id="rId18"/>
    <sheet name="Debt details" sheetId="30" r:id="rId19"/>
    <sheet name="Required return equity, (Re)" sheetId="14" r:id="rId20"/>
    <sheet name="Beta computation" sheetId="12" r:id="rId21"/>
    <sheet name="WACC_growth_HARDCODE" sheetId="25" r:id="rId22"/>
  </sheets>
  <definedNames>
    <definedName name="_xlnm._FilterDatabase" localSheetId="20" hidden="1">'Beta computation'!$C$1:$L$1</definedName>
    <definedName name="_xlnm._FilterDatabase" localSheetId="18" hidden="1">'Debt details'!$B$5:$B$728</definedName>
    <definedName name="_xlnm.Extract" localSheetId="18">'Debt details'!$V$1</definedName>
    <definedName name="_xlnm.Print_Area" localSheetId="7">'BAL Hist Forecast'!$A$1:$K$49</definedName>
    <definedName name="_xlnm.Print_Area" localSheetId="6">'CF Statement Forecast'!$A$1:$G$35</definedName>
    <definedName name="_xlnm.Print_Area" localSheetId="5">'IS Hist Forecast'!$A$1:$K$26</definedName>
    <definedName name="_xlnm.Print_Area" localSheetId="14">'Multiple Valuation'!$A$1:$H$79</definedName>
    <definedName name="_xlnm.Print_Area" localSheetId="16">'WACC and Growth'!$A$1:$J$20,'WACC and Growth'!$N$5:$T$17</definedName>
  </definedNames>
  <calcPr calcId="191028" calcMode="manual" calcCompleted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7" l="1"/>
  <c r="D21" i="7"/>
  <c r="D20" i="7"/>
  <c r="H4" i="5"/>
  <c r="D19" i="7"/>
  <c r="E2" i="6"/>
  <c r="F2" i="6"/>
  <c r="G2" i="6"/>
  <c r="D5" i="6"/>
  <c r="E5" i="6"/>
  <c r="F5" i="6"/>
  <c r="G5" i="6"/>
  <c r="D6" i="6"/>
  <c r="E6" i="6"/>
  <c r="F6" i="6"/>
  <c r="G6" i="6"/>
  <c r="D7" i="6"/>
  <c r="E7" i="6"/>
  <c r="F7" i="6"/>
  <c r="G7" i="6"/>
  <c r="D8" i="6"/>
  <c r="E8" i="6"/>
  <c r="F8" i="6"/>
  <c r="G8" i="6"/>
  <c r="D10" i="6"/>
  <c r="E10" i="6"/>
  <c r="F10" i="6"/>
  <c r="G10" i="6"/>
  <c r="D11" i="6"/>
  <c r="E11" i="6"/>
  <c r="F11" i="6"/>
  <c r="G11" i="6"/>
  <c r="D13" i="6"/>
  <c r="E13" i="6"/>
  <c r="F13" i="6"/>
  <c r="G13" i="6"/>
  <c r="E15" i="6"/>
  <c r="F15" i="6"/>
  <c r="G15" i="6"/>
  <c r="E18" i="6"/>
  <c r="F18" i="6"/>
  <c r="G18" i="6"/>
  <c r="E3" i="7"/>
  <c r="F3" i="7"/>
  <c r="D5" i="7"/>
  <c r="E5" i="7"/>
  <c r="F5" i="7"/>
  <c r="D6" i="7"/>
  <c r="E6" i="7"/>
  <c r="F6" i="7"/>
  <c r="D7" i="7"/>
  <c r="E7" i="7"/>
  <c r="F7" i="7"/>
  <c r="D8" i="7"/>
  <c r="E8" i="7"/>
  <c r="F8" i="7"/>
  <c r="D9" i="7"/>
  <c r="E9" i="7"/>
  <c r="F9" i="7"/>
  <c r="D11" i="7"/>
  <c r="E11" i="7"/>
  <c r="F11" i="7"/>
  <c r="D12" i="7"/>
  <c r="E12" i="7"/>
  <c r="F12" i="7"/>
  <c r="D14" i="7"/>
  <c r="E14" i="7"/>
  <c r="F14" i="7"/>
  <c r="F15" i="7"/>
  <c r="E16" i="7"/>
  <c r="F16" i="7"/>
  <c r="E3" i="3"/>
  <c r="F3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23" i="3"/>
  <c r="E23" i="3"/>
  <c r="F23" i="3"/>
  <c r="D24" i="3"/>
  <c r="E24" i="3"/>
  <c r="F24" i="3"/>
  <c r="D25" i="3"/>
  <c r="E25" i="3"/>
  <c r="F25" i="3"/>
  <c r="D27" i="3"/>
  <c r="E27" i="3"/>
  <c r="F27" i="3"/>
  <c r="D31" i="3"/>
  <c r="I3" i="5"/>
  <c r="J3" i="5"/>
  <c r="L3" i="5"/>
  <c r="M3" i="5"/>
  <c r="N3" i="5"/>
  <c r="D4" i="5" a="1"/>
  <c r="D4" i="5"/>
  <c r="K4" i="5"/>
  <c r="O4" i="5"/>
  <c r="D5" i="5" a="1"/>
  <c r="D5" i="5"/>
  <c r="H5" i="5"/>
  <c r="I5" i="5"/>
  <c r="J5" i="5"/>
  <c r="K5" i="5"/>
  <c r="O5" i="5"/>
  <c r="D7" i="5" a="1"/>
  <c r="D7" i="5"/>
  <c r="H7" i="5"/>
  <c r="I7" i="5"/>
  <c r="J7" i="5"/>
  <c r="K7" i="5"/>
  <c r="D8" i="5" a="1"/>
  <c r="D8" i="5"/>
  <c r="H8" i="5"/>
  <c r="I8" i="5"/>
  <c r="J8" i="5"/>
  <c r="K8" i="5"/>
  <c r="D9" i="5" a="1"/>
  <c r="D9" i="5"/>
  <c r="H9" i="5"/>
  <c r="I9" i="5"/>
  <c r="J9" i="5"/>
  <c r="K9" i="5"/>
  <c r="D10" i="5"/>
  <c r="E10" i="5"/>
  <c r="F10" i="5"/>
  <c r="H10" i="5"/>
  <c r="I10" i="5"/>
  <c r="J10" i="5"/>
  <c r="K10" i="5"/>
  <c r="D11" i="5" a="1"/>
  <c r="D11" i="5"/>
  <c r="H11" i="5"/>
  <c r="I11" i="5"/>
  <c r="J11" i="5"/>
  <c r="K11" i="5"/>
  <c r="D12" i="5"/>
  <c r="E12" i="5"/>
  <c r="F12" i="5"/>
  <c r="K12" i="5"/>
  <c r="D13" i="5"/>
  <c r="E13" i="5"/>
  <c r="F13" i="5"/>
  <c r="K13" i="5"/>
  <c r="D14" i="5" a="1"/>
  <c r="D14" i="5"/>
  <c r="H14" i="5"/>
  <c r="I14" i="5"/>
  <c r="J14" i="5"/>
  <c r="K14" i="5"/>
  <c r="K15" i="5"/>
  <c r="D17" i="5" a="1"/>
  <c r="D17" i="5"/>
  <c r="H17" i="5"/>
  <c r="I17" i="5"/>
  <c r="J17" i="5"/>
  <c r="D18" i="5" a="1"/>
  <c r="D18" i="5"/>
  <c r="H18" i="5"/>
  <c r="I18" i="5"/>
  <c r="J18" i="5"/>
  <c r="L18" i="5"/>
  <c r="M18" i="5"/>
  <c r="N18" i="5"/>
  <c r="D19" i="5" a="1"/>
  <c r="D19" i="5"/>
  <c r="K19" i="5"/>
  <c r="O19" i="5"/>
  <c r="D20" i="5"/>
  <c r="E20" i="5"/>
  <c r="F20" i="5"/>
  <c r="K20" i="5"/>
  <c r="O20" i="5"/>
  <c r="D21" i="5" a="1"/>
  <c r="D21" i="5"/>
  <c r="H21" i="5"/>
  <c r="I21" i="5"/>
  <c r="J21" i="5"/>
  <c r="K21" i="5"/>
  <c r="D22" i="5" a="1"/>
  <c r="D22" i="5"/>
  <c r="H22" i="5"/>
  <c r="I22" i="5"/>
  <c r="J22" i="5"/>
  <c r="K22" i="5"/>
  <c r="H23" i="5"/>
  <c r="I23" i="5"/>
  <c r="J23" i="5"/>
  <c r="K23" i="5"/>
  <c r="K24" i="5"/>
  <c r="D26" i="5" a="1"/>
  <c r="D26" i="5"/>
  <c r="H26" i="5"/>
  <c r="I26" i="5"/>
  <c r="J26" i="5"/>
  <c r="K26" i="5"/>
  <c r="D27" i="5"/>
  <c r="E27" i="5"/>
  <c r="F27" i="5"/>
  <c r="H27" i="5"/>
  <c r="I27" i="5"/>
  <c r="J27" i="5"/>
  <c r="K27" i="5"/>
  <c r="D28" i="5" a="1"/>
  <c r="D28" i="5"/>
  <c r="H28" i="5"/>
  <c r="I28" i="5"/>
  <c r="J28" i="5"/>
  <c r="K28" i="5"/>
  <c r="H29" i="5"/>
  <c r="I29" i="5"/>
  <c r="J29" i="5"/>
  <c r="K29" i="5"/>
  <c r="H30" i="5"/>
  <c r="I30" i="5"/>
  <c r="J30" i="5"/>
  <c r="K30" i="5"/>
  <c r="D31" i="5" a="1"/>
  <c r="D31" i="5"/>
  <c r="K31" i="5"/>
  <c r="H32" i="5"/>
  <c r="I32" i="5"/>
  <c r="J32" i="5"/>
  <c r="K32" i="5"/>
  <c r="D33" i="5"/>
  <c r="E33" i="5"/>
  <c r="F33" i="5"/>
  <c r="K33" i="5"/>
  <c r="K34" i="5"/>
  <c r="D36" i="5" a="1"/>
  <c r="D36" i="5"/>
  <c r="D44" i="5"/>
  <c r="E44" i="5"/>
  <c r="F44" i="5"/>
  <c r="H44" i="5"/>
  <c r="I44" i="5"/>
  <c r="J44" i="5"/>
  <c r="K44" i="5"/>
  <c r="D45" i="5"/>
  <c r="E45" i="5"/>
  <c r="F45" i="5"/>
  <c r="H45" i="5"/>
  <c r="I45" i="5"/>
  <c r="J45" i="5"/>
  <c r="K45" i="5"/>
  <c r="D46" i="5"/>
  <c r="E46" i="5"/>
  <c r="F46" i="5"/>
  <c r="H46" i="5"/>
  <c r="I46" i="5"/>
  <c r="J46" i="5"/>
  <c r="K46" i="5"/>
  <c r="D47" i="5"/>
  <c r="E47" i="5"/>
  <c r="F47" i="5"/>
  <c r="H47" i="5"/>
  <c r="I47" i="5"/>
  <c r="J47" i="5"/>
  <c r="K47" i="5"/>
  <c r="D48" i="5"/>
  <c r="E48" i="5"/>
  <c r="F48" i="5"/>
  <c r="H48" i="5"/>
  <c r="I48" i="5"/>
  <c r="J48" i="5"/>
  <c r="K48" i="5"/>
  <c r="D50" i="5"/>
  <c r="E50" i="5"/>
  <c r="F50" i="5"/>
  <c r="H50" i="5"/>
  <c r="I50" i="5"/>
  <c r="J50" i="5"/>
  <c r="K50" i="5"/>
  <c r="D51" i="5"/>
  <c r="E51" i="5"/>
  <c r="F51" i="5"/>
  <c r="H51" i="5"/>
  <c r="I51" i="5"/>
  <c r="J51" i="5"/>
  <c r="K51" i="5"/>
  <c r="D52" i="5"/>
  <c r="E52" i="5"/>
  <c r="F52" i="5"/>
  <c r="H52" i="5"/>
  <c r="I52" i="5"/>
  <c r="J52" i="5"/>
  <c r="K52" i="5"/>
  <c r="D55" i="5"/>
  <c r="E55" i="5"/>
  <c r="F55" i="5"/>
  <c r="H55" i="5"/>
  <c r="I55" i="5"/>
  <c r="J55" i="5"/>
  <c r="K55" i="5"/>
  <c r="D56" i="5"/>
  <c r="E56" i="5"/>
  <c r="F56" i="5"/>
  <c r="H56" i="5"/>
  <c r="I56" i="5"/>
  <c r="J56" i="5"/>
  <c r="K56" i="5"/>
  <c r="E3" i="4"/>
  <c r="F3" i="4"/>
  <c r="H3" i="4"/>
  <c r="I3" i="4"/>
  <c r="J3" i="4"/>
  <c r="D4" i="4" a="1"/>
  <c r="D4" i="4"/>
  <c r="H4" i="4"/>
  <c r="I4" i="4"/>
  <c r="J4" i="4"/>
  <c r="K4" i="4"/>
  <c r="D5" i="4" a="1"/>
  <c r="D5" i="4"/>
  <c r="H5" i="4"/>
  <c r="I5" i="4"/>
  <c r="J5" i="4"/>
  <c r="K5" i="4"/>
  <c r="D6" i="4" a="1"/>
  <c r="D6" i="4"/>
  <c r="H6" i="4"/>
  <c r="I6" i="4"/>
  <c r="J6" i="4"/>
  <c r="K6" i="4"/>
  <c r="D7" i="4" a="1"/>
  <c r="D7" i="4"/>
  <c r="H7" i="4"/>
  <c r="I7" i="4"/>
  <c r="J7" i="4"/>
  <c r="K7" i="4"/>
  <c r="D8" i="4"/>
  <c r="E8" i="4"/>
  <c r="F8" i="4"/>
  <c r="H8" i="4"/>
  <c r="I8" i="4"/>
  <c r="J8" i="4"/>
  <c r="K8" i="4"/>
  <c r="D9" i="4"/>
  <c r="E9" i="4"/>
  <c r="F9" i="4"/>
  <c r="K9" i="4"/>
  <c r="D10" i="4" a="1"/>
  <c r="D10" i="4"/>
  <c r="H10" i="4"/>
  <c r="I10" i="4"/>
  <c r="J10" i="4"/>
  <c r="K10" i="4"/>
  <c r="D11" i="4"/>
  <c r="E11" i="4"/>
  <c r="F11" i="4"/>
  <c r="K11" i="4"/>
  <c r="D12" i="4" a="1"/>
  <c r="D12" i="4"/>
  <c r="K12" i="4"/>
  <c r="D13" i="4"/>
  <c r="E13" i="4"/>
  <c r="F13" i="4"/>
  <c r="K13" i="4"/>
  <c r="D14" i="4" a="1"/>
  <c r="D14" i="4"/>
  <c r="D15" i="4"/>
  <c r="E15" i="4"/>
  <c r="F15" i="4"/>
  <c r="K15" i="4"/>
  <c r="D16" i="4" a="1"/>
  <c r="D16" i="4"/>
  <c r="H16" i="4"/>
  <c r="D26" i="3" s="1"/>
  <c r="I16" i="4"/>
  <c r="E26" i="3" s="1"/>
  <c r="J16" i="4"/>
  <c r="F26" i="3" s="1"/>
  <c r="K16" i="4"/>
  <c r="E18" i="4"/>
  <c r="F18" i="4"/>
  <c r="D19" i="4"/>
  <c r="E19" i="4"/>
  <c r="F19" i="4"/>
  <c r="H19" i="4"/>
  <c r="I19" i="4"/>
  <c r="J19" i="4"/>
  <c r="D20" i="4"/>
  <c r="E20" i="4"/>
  <c r="F20" i="4"/>
  <c r="H20" i="4"/>
  <c r="I20" i="4"/>
  <c r="J20" i="4"/>
  <c r="D21" i="4"/>
  <c r="E21" i="4"/>
  <c r="F21" i="4"/>
  <c r="D22" i="4"/>
  <c r="E22" i="4"/>
  <c r="F22" i="4"/>
  <c r="H22" i="4"/>
  <c r="I22" i="4"/>
  <c r="J22" i="4"/>
  <c r="D24" i="4"/>
  <c r="E24" i="4"/>
  <c r="F24" i="4"/>
  <c r="D25" i="4"/>
  <c r="E25" i="4"/>
  <c r="F25" i="4"/>
  <c r="H25" i="4"/>
  <c r="I25" i="4"/>
  <c r="J25" i="4"/>
  <c r="D26" i="4" a="1"/>
  <c r="D26" i="4"/>
  <c r="K41" i="34" l="1"/>
  <c r="I41" i="34"/>
  <c r="H41" i="34"/>
  <c r="B3" i="25" l="1"/>
  <c r="I155" i="12"/>
  <c r="G10" i="34" l="1" a="1"/>
  <c r="G10" i="34" s="1"/>
  <c r="G11" i="34" a="1"/>
  <c r="G11" i="34" s="1"/>
  <c r="G12" i="34" a="1"/>
  <c r="G12" i="34" s="1"/>
  <c r="G13" i="34" a="1"/>
  <c r="G13" i="34" s="1"/>
  <c r="G14" i="34" a="1"/>
  <c r="G14" i="34" s="1"/>
  <c r="G15" i="34" a="1"/>
  <c r="G15" i="34" s="1"/>
  <c r="G16" i="34" a="1"/>
  <c r="G16" i="34" s="1"/>
  <c r="G17" i="34" a="1"/>
  <c r="G17" i="34"/>
  <c r="G18" i="34" a="1"/>
  <c r="G18" i="34" s="1"/>
  <c r="G19" i="34" a="1"/>
  <c r="G19" i="34" s="1"/>
  <c r="G20" i="34" a="1"/>
  <c r="G20" i="34" s="1"/>
  <c r="G21" i="34" a="1"/>
  <c r="G21" i="34" s="1"/>
  <c r="G22" i="34" a="1"/>
  <c r="G22" i="34" s="1"/>
  <c r="G23" i="34" a="1"/>
  <c r="G23" i="34" s="1"/>
  <c r="G24" i="34" a="1"/>
  <c r="G24" i="34" s="1"/>
  <c r="G25" i="34" a="1"/>
  <c r="G25" i="34"/>
  <c r="G26" i="34" a="1"/>
  <c r="G26" i="34" s="1"/>
  <c r="G27" i="34" a="1"/>
  <c r="G27" i="34" s="1"/>
  <c r="G28" i="34" a="1"/>
  <c r="G28" i="34" s="1"/>
  <c r="G29" i="34" a="1"/>
  <c r="G29" i="34" s="1"/>
  <c r="G30" i="34" a="1"/>
  <c r="G30" i="34" s="1"/>
  <c r="G31" i="34" a="1"/>
  <c r="G31" i="34" s="1"/>
  <c r="G32" i="34" a="1"/>
  <c r="G32" i="34" s="1"/>
  <c r="G33" i="34" a="1"/>
  <c r="G33" i="34" s="1"/>
  <c r="G34" i="34" a="1"/>
  <c r="G34" i="34" s="1"/>
  <c r="G35" i="34" a="1"/>
  <c r="G35" i="34" s="1"/>
  <c r="G36" i="34" a="1"/>
  <c r="G36" i="34" s="1"/>
  <c r="G37" i="34" a="1"/>
  <c r="G37" i="34" s="1"/>
  <c r="G38" i="34" a="1"/>
  <c r="G38" i="34" s="1"/>
  <c r="G9" i="34" a="1"/>
  <c r="G9" i="34" s="1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73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2" i="12"/>
  <c r="M111" i="12" l="1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F41" i="34" l="1"/>
  <c r="X12" i="12"/>
  <c r="X19" i="12"/>
  <c r="X23" i="12"/>
  <c r="X20" i="12"/>
  <c r="X21" i="12"/>
  <c r="X24" i="12"/>
  <c r="X15" i="12"/>
  <c r="X22" i="12"/>
  <c r="X2" i="12" l="1"/>
  <c r="F48" i="34" l="1"/>
  <c r="H48" i="34" l="1"/>
  <c r="B54" i="34" l="1"/>
  <c r="B53" i="34" l="1"/>
  <c r="B55" i="34" s="1"/>
  <c r="C53" i="34" s="1"/>
  <c r="I48" i="34"/>
  <c r="K48" i="34"/>
  <c r="D54" i="34" s="1"/>
  <c r="D53" i="34" l="1"/>
  <c r="E53" i="34" s="1"/>
  <c r="C54" i="34"/>
  <c r="E54" i="34" s="1"/>
  <c r="E55" i="34" l="1"/>
  <c r="C55" i="34"/>
  <c r="Y2" i="12" l="1"/>
  <c r="W2" i="12"/>
  <c r="AA2" i="12" l="1"/>
  <c r="AB2" i="12" s="1"/>
  <c r="Z2" i="12"/>
  <c r="S6" i="12" l="1"/>
  <c r="R20" i="12"/>
  <c r="R18" i="12"/>
  <c r="R16" i="12"/>
  <c r="R14" i="12"/>
  <c r="R12" i="12"/>
  <c r="R10" i="12"/>
  <c r="R8" i="12"/>
  <c r="R6" i="12"/>
  <c r="R4" i="12"/>
  <c r="R2" i="12"/>
  <c r="S15" i="12"/>
  <c r="S11" i="12"/>
  <c r="S7" i="12"/>
  <c r="T18" i="12"/>
  <c r="T12" i="12"/>
  <c r="T4" i="12"/>
  <c r="S18" i="12"/>
  <c r="S14" i="12"/>
  <c r="S12" i="12"/>
  <c r="S8" i="12"/>
  <c r="S2" i="12"/>
  <c r="U19" i="12"/>
  <c r="U17" i="12"/>
  <c r="U15" i="12"/>
  <c r="U13" i="12"/>
  <c r="U11" i="12"/>
  <c r="U9" i="12"/>
  <c r="U7" i="12"/>
  <c r="U5" i="12"/>
  <c r="U3" i="12"/>
  <c r="S19" i="12"/>
  <c r="T19" i="12"/>
  <c r="T17" i="12"/>
  <c r="T15" i="12"/>
  <c r="T13" i="12"/>
  <c r="T11" i="12"/>
  <c r="T9" i="12"/>
  <c r="T7" i="12"/>
  <c r="T5" i="12"/>
  <c r="T3" i="12"/>
  <c r="S17" i="12"/>
  <c r="S13" i="12"/>
  <c r="S9" i="12"/>
  <c r="S5" i="12"/>
  <c r="S3" i="12"/>
  <c r="T16" i="12"/>
  <c r="T10" i="12"/>
  <c r="T2" i="12"/>
  <c r="R19" i="12"/>
  <c r="R17" i="12"/>
  <c r="R15" i="12"/>
  <c r="R13" i="12"/>
  <c r="R11" i="12"/>
  <c r="R9" i="12"/>
  <c r="R7" i="12"/>
  <c r="R5" i="12"/>
  <c r="R3" i="12"/>
  <c r="U20" i="12"/>
  <c r="U18" i="12"/>
  <c r="U16" i="12"/>
  <c r="U14" i="12"/>
  <c r="U12" i="12"/>
  <c r="U10" i="12"/>
  <c r="U8" i="12"/>
  <c r="U6" i="12"/>
  <c r="U4" i="12"/>
  <c r="U2" i="12"/>
  <c r="T20" i="12"/>
  <c r="T14" i="12"/>
  <c r="T8" i="12"/>
  <c r="T6" i="12"/>
  <c r="S20" i="12"/>
  <c r="S16" i="12"/>
  <c r="S10" i="12"/>
  <c r="S4" i="12"/>
  <c r="N6" i="12"/>
  <c r="N135" i="12"/>
  <c r="P74" i="12"/>
  <c r="Q11" i="12"/>
  <c r="Q78" i="12"/>
  <c r="Q10" i="12"/>
  <c r="Q36" i="12"/>
  <c r="O84" i="12"/>
  <c r="O99" i="12"/>
  <c r="O46" i="12"/>
  <c r="P98" i="12"/>
  <c r="Q108" i="12"/>
  <c r="O113" i="12"/>
  <c r="O131" i="12"/>
  <c r="P113" i="12"/>
  <c r="P114" i="12"/>
  <c r="P121" i="12"/>
  <c r="P130" i="12"/>
  <c r="P138" i="12"/>
  <c r="P143" i="12"/>
  <c r="Q109" i="12"/>
  <c r="Q114" i="12"/>
  <c r="Q125" i="12"/>
  <c r="Q128" i="12"/>
  <c r="Q133" i="12"/>
  <c r="Q141" i="12"/>
  <c r="P2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T25" i="12"/>
  <c r="U28" i="12"/>
  <c r="T33" i="12"/>
  <c r="U36" i="12"/>
  <c r="T41" i="12"/>
  <c r="U44" i="12"/>
  <c r="T49" i="12"/>
  <c r="U52" i="12"/>
  <c r="T57" i="12"/>
  <c r="U60" i="12"/>
  <c r="T65" i="12"/>
  <c r="U68" i="12"/>
  <c r="T73" i="12"/>
  <c r="U76" i="12"/>
  <c r="T22" i="12"/>
  <c r="U25" i="12"/>
  <c r="T30" i="12"/>
  <c r="U33" i="12"/>
  <c r="T38" i="12"/>
  <c r="U41" i="12"/>
  <c r="T46" i="12"/>
  <c r="U49" i="12"/>
  <c r="T54" i="12"/>
  <c r="U57" i="12"/>
  <c r="T62" i="12"/>
  <c r="U65" i="12"/>
  <c r="T70" i="12"/>
  <c r="U73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U22" i="12"/>
  <c r="T27" i="12"/>
  <c r="U30" i="12"/>
  <c r="T35" i="12"/>
  <c r="U38" i="12"/>
  <c r="T43" i="12"/>
  <c r="U46" i="12"/>
  <c r="T51" i="12"/>
  <c r="T24" i="12"/>
  <c r="U27" i="12"/>
  <c r="T32" i="12"/>
  <c r="U35" i="12"/>
  <c r="T40" i="12"/>
  <c r="U43" i="12"/>
  <c r="T48" i="12"/>
  <c r="U51" i="12"/>
  <c r="T21" i="12"/>
  <c r="U24" i="12"/>
  <c r="T29" i="12"/>
  <c r="U32" i="12"/>
  <c r="T37" i="12"/>
  <c r="U40" i="12"/>
  <c r="T45" i="12"/>
  <c r="U48" i="12"/>
  <c r="T53" i="12"/>
  <c r="U56" i="12"/>
  <c r="T61" i="12"/>
  <c r="U64" i="12"/>
  <c r="T69" i="12"/>
  <c r="U72" i="12"/>
  <c r="T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21" i="12"/>
  <c r="T26" i="12"/>
  <c r="U29" i="12"/>
  <c r="T34" i="12"/>
  <c r="U37" i="12"/>
  <c r="T42" i="12"/>
  <c r="U45" i="12"/>
  <c r="T50" i="12"/>
  <c r="U53" i="12"/>
  <c r="T58" i="12"/>
  <c r="U61" i="12"/>
  <c r="T66" i="12"/>
  <c r="U69" i="12"/>
  <c r="T74" i="12"/>
  <c r="U77" i="12"/>
  <c r="T23" i="12"/>
  <c r="U26" i="12"/>
  <c r="T31" i="12"/>
  <c r="U34" i="12"/>
  <c r="T39" i="12"/>
  <c r="U42" i="12"/>
  <c r="T47" i="12"/>
  <c r="U50" i="12"/>
  <c r="T55" i="12"/>
  <c r="U58" i="12"/>
  <c r="T63" i="12"/>
  <c r="U66" i="12"/>
  <c r="T71" i="12"/>
  <c r="U74" i="12"/>
  <c r="U23" i="12"/>
  <c r="T28" i="12"/>
  <c r="U31" i="12"/>
  <c r="T36" i="12"/>
  <c r="U39" i="12"/>
  <c r="T44" i="12"/>
  <c r="U47" i="12"/>
  <c r="T52" i="12"/>
  <c r="U55" i="12"/>
  <c r="T60" i="12"/>
  <c r="U63" i="12"/>
  <c r="T68" i="12"/>
  <c r="U71" i="12"/>
  <c r="T76" i="12"/>
  <c r="U59" i="12"/>
  <c r="T72" i="12"/>
  <c r="T78" i="12"/>
  <c r="T82" i="12"/>
  <c r="T86" i="12"/>
  <c r="T90" i="12"/>
  <c r="T94" i="12"/>
  <c r="T98" i="12"/>
  <c r="S102" i="12"/>
  <c r="S104" i="12"/>
  <c r="S106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U54" i="12"/>
  <c r="T67" i="12"/>
  <c r="S79" i="12"/>
  <c r="S83" i="12"/>
  <c r="S87" i="12"/>
  <c r="S91" i="12"/>
  <c r="S95" i="12"/>
  <c r="S99" i="12"/>
  <c r="T102" i="12"/>
  <c r="T104" i="12"/>
  <c r="T106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U67" i="12"/>
  <c r="T79" i="12"/>
  <c r="T83" i="12"/>
  <c r="T87" i="12"/>
  <c r="T91" i="12"/>
  <c r="T95" i="12"/>
  <c r="T99" i="12"/>
  <c r="U102" i="12"/>
  <c r="U104" i="12"/>
  <c r="U106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U62" i="12"/>
  <c r="T75" i="12"/>
  <c r="S80" i="12"/>
  <c r="S84" i="12"/>
  <c r="S88" i="12"/>
  <c r="S92" i="12"/>
  <c r="S96" i="12"/>
  <c r="S100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T56" i="12"/>
  <c r="U75" i="12"/>
  <c r="T80" i="12"/>
  <c r="T84" i="12"/>
  <c r="T88" i="12"/>
  <c r="T92" i="12"/>
  <c r="T96" i="12"/>
  <c r="T100" i="12"/>
  <c r="S103" i="12"/>
  <c r="S105" i="12"/>
  <c r="S107" i="12"/>
  <c r="U70" i="12"/>
  <c r="S81" i="12"/>
  <c r="S85" i="12"/>
  <c r="S89" i="12"/>
  <c r="S93" i="12"/>
  <c r="S97" i="12"/>
  <c r="S101" i="12"/>
  <c r="T103" i="12"/>
  <c r="T105" i="12"/>
  <c r="T107" i="12"/>
  <c r="T64" i="12"/>
  <c r="T81" i="12"/>
  <c r="T85" i="12"/>
  <c r="T89" i="12"/>
  <c r="T93" i="12"/>
  <c r="T97" i="12"/>
  <c r="T101" i="12"/>
  <c r="U103" i="12"/>
  <c r="U105" i="12"/>
  <c r="U107" i="12"/>
  <c r="T59" i="12"/>
  <c r="S78" i="12"/>
  <c r="S82" i="12"/>
  <c r="S86" i="12"/>
  <c r="S90" i="12"/>
  <c r="S94" i="12"/>
  <c r="S98" i="12"/>
  <c r="Q2" i="12" l="1"/>
  <c r="Q124" i="12"/>
  <c r="P137" i="12"/>
  <c r="O139" i="12"/>
  <c r="P94" i="12"/>
  <c r="Q4" i="12"/>
  <c r="P52" i="12"/>
  <c r="Q144" i="12"/>
  <c r="Q117" i="12"/>
  <c r="P135" i="12"/>
  <c r="O135" i="12"/>
  <c r="Q65" i="12"/>
  <c r="Q58" i="12"/>
  <c r="P28" i="12"/>
  <c r="Q140" i="12"/>
  <c r="Q112" i="12"/>
  <c r="P125" i="12"/>
  <c r="O119" i="12"/>
  <c r="O30" i="12"/>
  <c r="O7" i="12"/>
  <c r="N133" i="12"/>
  <c r="Q130" i="12"/>
  <c r="P108" i="12"/>
  <c r="P119" i="12"/>
  <c r="O77" i="12"/>
  <c r="O91" i="12"/>
  <c r="Q35" i="12"/>
  <c r="O129" i="12"/>
  <c r="Q64" i="12"/>
  <c r="P91" i="12"/>
  <c r="O14" i="12"/>
  <c r="O83" i="12"/>
  <c r="O68" i="12"/>
  <c r="Q29" i="12"/>
  <c r="Q103" i="12"/>
  <c r="P27" i="12"/>
  <c r="O124" i="12"/>
  <c r="P107" i="12"/>
  <c r="P86" i="12"/>
  <c r="O107" i="12"/>
  <c r="O79" i="12"/>
  <c r="O52" i="12"/>
  <c r="Q88" i="12"/>
  <c r="Q138" i="12"/>
  <c r="Q122" i="12"/>
  <c r="P104" i="12"/>
  <c r="P129" i="12"/>
  <c r="P111" i="12"/>
  <c r="O145" i="12"/>
  <c r="O123" i="12"/>
  <c r="P103" i="12"/>
  <c r="P83" i="12"/>
  <c r="O103" i="12"/>
  <c r="Q68" i="12"/>
  <c r="Q31" i="12"/>
  <c r="O45" i="12"/>
  <c r="Q87" i="12"/>
  <c r="O2" i="12"/>
  <c r="Q136" i="12"/>
  <c r="Q120" i="12"/>
  <c r="Q72" i="12"/>
  <c r="P145" i="12"/>
  <c r="P127" i="12"/>
  <c r="P109" i="12"/>
  <c r="O140" i="12"/>
  <c r="O121" i="12"/>
  <c r="Q61" i="12"/>
  <c r="O78" i="12"/>
  <c r="O100" i="12"/>
  <c r="O49" i="12"/>
  <c r="O12" i="12"/>
  <c r="Q16" i="12"/>
  <c r="Q30" i="12"/>
  <c r="N145" i="12"/>
  <c r="Q132" i="12"/>
  <c r="Q116" i="12"/>
  <c r="P141" i="12"/>
  <c r="P122" i="12"/>
  <c r="O137" i="12"/>
  <c r="O115" i="12"/>
  <c r="P99" i="12"/>
  <c r="O62" i="12"/>
  <c r="O92" i="12"/>
  <c r="O17" i="12"/>
  <c r="Q50" i="12"/>
  <c r="O56" i="12"/>
  <c r="P72" i="12"/>
  <c r="Q97" i="12"/>
  <c r="P40" i="12"/>
  <c r="N74" i="12"/>
  <c r="N15" i="12"/>
  <c r="N28" i="12"/>
  <c r="O71" i="12"/>
  <c r="O26" i="12"/>
  <c r="O40" i="12"/>
  <c r="Q92" i="12"/>
  <c r="P38" i="12"/>
  <c r="N50" i="12"/>
  <c r="O132" i="12"/>
  <c r="O116" i="12"/>
  <c r="O74" i="12"/>
  <c r="P90" i="12"/>
  <c r="Q33" i="12"/>
  <c r="O95" i="12"/>
  <c r="O65" i="12"/>
  <c r="Q55" i="12"/>
  <c r="O31" i="12"/>
  <c r="O37" i="12"/>
  <c r="P78" i="12"/>
  <c r="P62" i="12"/>
  <c r="P14" i="12"/>
  <c r="N33" i="12"/>
  <c r="N46" i="12"/>
  <c r="Q70" i="12"/>
  <c r="P61" i="12"/>
  <c r="P13" i="12"/>
  <c r="N25" i="12"/>
  <c r="N120" i="12"/>
  <c r="N37" i="12"/>
  <c r="N104" i="12"/>
  <c r="N119" i="12"/>
  <c r="N128" i="12"/>
  <c r="N137" i="12"/>
  <c r="N42" i="12"/>
  <c r="P10" i="12"/>
  <c r="P24" i="12"/>
  <c r="P37" i="12"/>
  <c r="P50" i="12"/>
  <c r="P60" i="12"/>
  <c r="P70" i="12"/>
  <c r="Q22" i="12"/>
  <c r="Q62" i="12"/>
  <c r="Q86" i="12"/>
  <c r="Q96" i="12"/>
  <c r="Q106" i="12"/>
  <c r="O32" i="12"/>
  <c r="O72" i="12"/>
  <c r="O29" i="12"/>
  <c r="Q21" i="12"/>
  <c r="Q42" i="12"/>
  <c r="Q7" i="12"/>
  <c r="Q47" i="12"/>
  <c r="Q28" i="12"/>
  <c r="Q60" i="12"/>
  <c r="O82" i="12"/>
  <c r="O90" i="12"/>
  <c r="O98" i="12"/>
  <c r="O106" i="12"/>
  <c r="Q25" i="12"/>
  <c r="Q57" i="12"/>
  <c r="P81" i="12"/>
  <c r="P89" i="12"/>
  <c r="P97" i="12"/>
  <c r="O61" i="12"/>
  <c r="Q69" i="12"/>
  <c r="O114" i="12"/>
  <c r="O122" i="12"/>
  <c r="O130" i="12"/>
  <c r="O138" i="12"/>
  <c r="P112" i="12"/>
  <c r="P120" i="12"/>
  <c r="P128" i="12"/>
  <c r="P136" i="12"/>
  <c r="P144" i="12"/>
  <c r="P106" i="12"/>
  <c r="Q115" i="12"/>
  <c r="Q123" i="12"/>
  <c r="Q131" i="12"/>
  <c r="Q139" i="12"/>
  <c r="N92" i="12"/>
  <c r="N70" i="12"/>
  <c r="N23" i="12"/>
  <c r="N57" i="12"/>
  <c r="N82" i="12"/>
  <c r="P16" i="12"/>
  <c r="P29" i="12"/>
  <c r="P43" i="12"/>
  <c r="P53" i="12"/>
  <c r="P64" i="12"/>
  <c r="P75" i="12"/>
  <c r="Q38" i="12"/>
  <c r="Q79" i="12"/>
  <c r="Q89" i="12"/>
  <c r="Q100" i="12"/>
  <c r="Q3" i="12"/>
  <c r="Q43" i="12"/>
  <c r="O5" i="12"/>
  <c r="Q48" i="12"/>
  <c r="O34" i="12"/>
  <c r="Q18" i="12"/>
  <c r="O63" i="12"/>
  <c r="O20" i="12"/>
  <c r="O60" i="12"/>
  <c r="O9" i="12"/>
  <c r="O41" i="12"/>
  <c r="O73" i="12"/>
  <c r="O85" i="12"/>
  <c r="O93" i="12"/>
  <c r="O101" i="12"/>
  <c r="O6" i="12"/>
  <c r="O38" i="12"/>
  <c r="O70" i="12"/>
  <c r="P84" i="12"/>
  <c r="P92" i="12"/>
  <c r="P100" i="12"/>
  <c r="Q56" i="12"/>
  <c r="O109" i="12"/>
  <c r="O117" i="12"/>
  <c r="O125" i="12"/>
  <c r="O133" i="12"/>
  <c r="O141" i="12"/>
  <c r="O58" i="12"/>
  <c r="P115" i="12"/>
  <c r="P123" i="12"/>
  <c r="P131" i="12"/>
  <c r="P139" i="12"/>
  <c r="Q110" i="12"/>
  <c r="Q118" i="12"/>
  <c r="Q126" i="12"/>
  <c r="Q134" i="12"/>
  <c r="Q142" i="12"/>
  <c r="N86" i="12"/>
  <c r="N47" i="12"/>
  <c r="N65" i="12"/>
  <c r="N98" i="12"/>
  <c r="P19" i="12"/>
  <c r="P30" i="12"/>
  <c r="P44" i="12"/>
  <c r="P54" i="12"/>
  <c r="P66" i="12"/>
  <c r="P76" i="12"/>
  <c r="Q46" i="12"/>
  <c r="Q80" i="12"/>
  <c r="Q90" i="12"/>
  <c r="Q102" i="12"/>
  <c r="O8" i="12"/>
  <c r="O48" i="12"/>
  <c r="O13" i="12"/>
  <c r="Q37" i="12"/>
  <c r="Q26" i="12"/>
  <c r="Q66" i="12"/>
  <c r="Q23" i="12"/>
  <c r="Q63" i="12"/>
  <c r="Q12" i="12"/>
  <c r="Q44" i="12"/>
  <c r="Q76" i="12"/>
  <c r="O86" i="12"/>
  <c r="O94" i="12"/>
  <c r="O102" i="12"/>
  <c r="Q9" i="12"/>
  <c r="Q41" i="12"/>
  <c r="Q73" i="12"/>
  <c r="P85" i="12"/>
  <c r="P93" i="12"/>
  <c r="P101" i="12"/>
  <c r="O69" i="12"/>
  <c r="O110" i="12"/>
  <c r="O118" i="12"/>
  <c r="O126" i="12"/>
  <c r="O134" i="12"/>
  <c r="O142" i="12"/>
  <c r="Q77" i="12"/>
  <c r="P116" i="12"/>
  <c r="P124" i="12"/>
  <c r="P132" i="12"/>
  <c r="P140" i="12"/>
  <c r="Q111" i="12"/>
  <c r="Q119" i="12"/>
  <c r="Q127" i="12"/>
  <c r="Q135" i="12"/>
  <c r="Q143" i="12"/>
  <c r="N110" i="12"/>
  <c r="N24" i="12"/>
  <c r="N55" i="12"/>
  <c r="N81" i="12"/>
  <c r="N138" i="12"/>
  <c r="P20" i="12"/>
  <c r="P32" i="12"/>
  <c r="P45" i="12"/>
  <c r="P56" i="12"/>
  <c r="P67" i="12"/>
  <c r="P77" i="12"/>
  <c r="Q6" i="12"/>
  <c r="O51" i="12"/>
  <c r="Q81" i="12"/>
  <c r="N11" i="12"/>
  <c r="N80" i="12"/>
  <c r="N118" i="12"/>
  <c r="N40" i="12"/>
  <c r="N71" i="12"/>
  <c r="N121" i="12"/>
  <c r="P6" i="12"/>
  <c r="P21" i="12"/>
  <c r="P35" i="12"/>
  <c r="P46" i="12"/>
  <c r="P58" i="12"/>
  <c r="P68" i="12"/>
  <c r="Q14" i="12"/>
  <c r="Q54" i="12"/>
  <c r="Q82" i="12"/>
  <c r="Q94" i="12"/>
  <c r="Q104" i="12"/>
  <c r="O16" i="12"/>
  <c r="O64" i="12"/>
  <c r="O21" i="12"/>
  <c r="Q5" i="12"/>
  <c r="Q53" i="12"/>
  <c r="Q34" i="12"/>
  <c r="Q74" i="12"/>
  <c r="Q39" i="12"/>
  <c r="Q71" i="12"/>
  <c r="Q20" i="12"/>
  <c r="Q52" i="12"/>
  <c r="O80" i="12"/>
  <c r="O88" i="12"/>
  <c r="O96" i="12"/>
  <c r="O104" i="12"/>
  <c r="Q17" i="12"/>
  <c r="Q49" i="12"/>
  <c r="P79" i="12"/>
  <c r="P87" i="12"/>
  <c r="P95" i="12"/>
  <c r="O66" i="12"/>
  <c r="P105" i="12"/>
  <c r="O112" i="12"/>
  <c r="O120" i="12"/>
  <c r="O128" i="12"/>
  <c r="O136" i="12"/>
  <c r="O144" i="12"/>
  <c r="P110" i="12"/>
  <c r="P118" i="12"/>
  <c r="P126" i="12"/>
  <c r="P134" i="12"/>
  <c r="P142" i="12"/>
  <c r="P102" i="12"/>
  <c r="Q113" i="12"/>
  <c r="Q121" i="12"/>
  <c r="Q129" i="12"/>
  <c r="Q137" i="12"/>
  <c r="Q145" i="12"/>
  <c r="N134" i="12"/>
  <c r="N64" i="12"/>
  <c r="N111" i="12"/>
  <c r="N129" i="12"/>
  <c r="N18" i="12"/>
  <c r="P9" i="12"/>
  <c r="P22" i="12"/>
  <c r="P36" i="12"/>
  <c r="P48" i="12"/>
  <c r="P59" i="12"/>
  <c r="P69" i="12"/>
  <c r="O19" i="12"/>
  <c r="O59" i="12"/>
  <c r="Q84" i="12"/>
  <c r="Q95" i="12"/>
  <c r="Q105" i="12"/>
  <c r="O24" i="12"/>
  <c r="Q67" i="12"/>
  <c r="Q24" i="12"/>
  <c r="Q13" i="12"/>
  <c r="O39" i="12"/>
  <c r="O44" i="12"/>
  <c r="O76" i="12"/>
  <c r="O25" i="12"/>
  <c r="O57" i="12"/>
  <c r="O81" i="12"/>
  <c r="O89" i="12"/>
  <c r="O97" i="12"/>
  <c r="O105" i="12"/>
  <c r="O22" i="12"/>
  <c r="O54" i="12"/>
  <c r="P80" i="12"/>
  <c r="P88" i="12"/>
  <c r="P96" i="12"/>
  <c r="P133" i="12"/>
  <c r="P117" i="12"/>
  <c r="O143" i="12"/>
  <c r="O127" i="12"/>
  <c r="O111" i="12"/>
  <c r="O53" i="12"/>
  <c r="P82" i="12"/>
  <c r="O108" i="12"/>
  <c r="O87" i="12"/>
  <c r="O33" i="12"/>
  <c r="Q15" i="12"/>
  <c r="Q45" i="12"/>
  <c r="Q75" i="12"/>
  <c r="Q98" i="12"/>
  <c r="O27" i="12"/>
  <c r="P51" i="12"/>
  <c r="N127" i="12"/>
  <c r="N125" i="12"/>
  <c r="N3" i="12"/>
  <c r="P42" i="12"/>
  <c r="P34" i="12"/>
  <c r="P26" i="12"/>
  <c r="P18" i="12"/>
  <c r="P8" i="12"/>
  <c r="N114" i="12"/>
  <c r="N34" i="12"/>
  <c r="N97" i="12"/>
  <c r="N17" i="12"/>
  <c r="N87" i="12"/>
  <c r="N7" i="12"/>
  <c r="N16" i="12"/>
  <c r="N62" i="12"/>
  <c r="N117" i="12"/>
  <c r="N140" i="12"/>
  <c r="O36" i="12"/>
  <c r="O4" i="12"/>
  <c r="O55" i="12"/>
  <c r="O23" i="12"/>
  <c r="O50" i="12"/>
  <c r="O18" i="12"/>
  <c r="Q40" i="12"/>
  <c r="Q8" i="12"/>
  <c r="Q59" i="12"/>
  <c r="Q27" i="12"/>
  <c r="Q101" i="12"/>
  <c r="Q93" i="12"/>
  <c r="Q85" i="12"/>
  <c r="O75" i="12"/>
  <c r="O43" i="12"/>
  <c r="O11" i="12"/>
  <c r="P73" i="12"/>
  <c r="P65" i="12"/>
  <c r="P57" i="12"/>
  <c r="P49" i="12"/>
  <c r="P41" i="12"/>
  <c r="P33" i="12"/>
  <c r="P25" i="12"/>
  <c r="P17" i="12"/>
  <c r="P7" i="12"/>
  <c r="N106" i="12"/>
  <c r="N26" i="12"/>
  <c r="N89" i="12"/>
  <c r="N9" i="12"/>
  <c r="N79" i="12"/>
  <c r="N2" i="12"/>
  <c r="N142" i="12"/>
  <c r="N54" i="12"/>
  <c r="N61" i="12"/>
  <c r="N116" i="12"/>
  <c r="N91" i="12"/>
  <c r="O28" i="12"/>
  <c r="O47" i="12"/>
  <c r="O15" i="12"/>
  <c r="O42" i="12"/>
  <c r="O10" i="12"/>
  <c r="Q32" i="12"/>
  <c r="Q51" i="12"/>
  <c r="Q19" i="12"/>
  <c r="Q107" i="12"/>
  <c r="Q99" i="12"/>
  <c r="Q91" i="12"/>
  <c r="Q83" i="12"/>
  <c r="O67" i="12"/>
  <c r="O35" i="12"/>
  <c r="O3" i="12"/>
  <c r="P71" i="12"/>
  <c r="P63" i="12"/>
  <c r="P55" i="12"/>
  <c r="P47" i="12"/>
  <c r="P39" i="12"/>
  <c r="P31" i="12"/>
  <c r="P23" i="12"/>
  <c r="P15" i="12"/>
  <c r="P5" i="12"/>
  <c r="N90" i="12"/>
  <c r="N10" i="12"/>
  <c r="N73" i="12"/>
  <c r="N143" i="12"/>
  <c r="N63" i="12"/>
  <c r="N126" i="12"/>
  <c r="N22" i="12"/>
  <c r="N29" i="12"/>
  <c r="N60" i="12"/>
  <c r="N131" i="12"/>
  <c r="N77" i="12"/>
  <c r="N20" i="12"/>
  <c r="N139" i="12"/>
  <c r="N53" i="12"/>
  <c r="N136" i="12"/>
  <c r="N107" i="12"/>
  <c r="N112" i="12"/>
  <c r="N100" i="12"/>
  <c r="N32" i="12"/>
  <c r="N75" i="12"/>
  <c r="N36" i="12"/>
  <c r="N67" i="12"/>
  <c r="N19" i="12"/>
  <c r="N101" i="12"/>
  <c r="N56" i="12"/>
  <c r="N108" i="12"/>
  <c r="N59" i="12"/>
  <c r="N5" i="12"/>
  <c r="N44" i="12"/>
  <c r="N96" i="12"/>
  <c r="N35" i="12"/>
  <c r="P12" i="12"/>
  <c r="P4" i="12"/>
  <c r="N130" i="12"/>
  <c r="N66" i="12"/>
  <c r="N113" i="12"/>
  <c r="N49" i="12"/>
  <c r="N103" i="12"/>
  <c r="N39" i="12"/>
  <c r="N102" i="12"/>
  <c r="N38" i="12"/>
  <c r="N93" i="12"/>
  <c r="N21" i="12"/>
  <c r="N84" i="12"/>
  <c r="N12" i="12"/>
  <c r="N72" i="12"/>
  <c r="N123" i="12"/>
  <c r="N51" i="12"/>
  <c r="P11" i="12"/>
  <c r="P3" i="12"/>
  <c r="N122" i="12"/>
  <c r="N58" i="12"/>
  <c r="N105" i="12"/>
  <c r="N41" i="12"/>
  <c r="N95" i="12"/>
  <c r="N31" i="12"/>
  <c r="N144" i="12"/>
  <c r="N94" i="12"/>
  <c r="N30" i="12"/>
  <c r="N85" i="12"/>
  <c r="N13" i="12"/>
  <c r="N76" i="12"/>
  <c r="N48" i="12"/>
  <c r="N115" i="12"/>
  <c r="N43" i="12"/>
  <c r="N78" i="12"/>
  <c r="N14" i="12"/>
  <c r="N141" i="12"/>
  <c r="N69" i="12"/>
  <c r="N124" i="12"/>
  <c r="N52" i="12"/>
  <c r="N8" i="12"/>
  <c r="N99" i="12"/>
  <c r="N27" i="12"/>
  <c r="N109" i="12"/>
  <c r="N45" i="12"/>
  <c r="N132" i="12"/>
  <c r="N68" i="12"/>
  <c r="N4" i="12"/>
  <c r="N88" i="12"/>
  <c r="N83" i="12"/>
  <c r="N564" i="12" l="1"/>
  <c r="N626" i="12" s="1"/>
  <c r="N549" i="12"/>
  <c r="N558" i="12"/>
  <c r="O526" i="12"/>
  <c r="N572" i="12"/>
  <c r="N527" i="12"/>
  <c r="N554" i="12"/>
  <c r="O557" i="12"/>
  <c r="O555" i="12"/>
  <c r="O551" i="12"/>
  <c r="O519" i="12"/>
  <c r="N532" i="12"/>
  <c r="N524" i="12"/>
  <c r="N531" i="12"/>
  <c r="N551" i="12"/>
  <c r="O561" i="12"/>
  <c r="O623" i="12" s="1"/>
  <c r="N518" i="12"/>
  <c r="N552" i="12"/>
  <c r="O578" i="12"/>
  <c r="O520" i="12"/>
  <c r="O521" i="12"/>
  <c r="N521" i="12"/>
  <c r="O549" i="12"/>
  <c r="O550" i="12"/>
  <c r="O565" i="12"/>
  <c r="O627" i="12" s="1"/>
  <c r="O524" i="12"/>
  <c r="O586" i="12" s="1"/>
  <c r="O648" i="12" s="1"/>
  <c r="O574" i="12"/>
  <c r="O636" i="12" s="1"/>
  <c r="N540" i="12"/>
  <c r="N602" i="12" s="1"/>
  <c r="N544" i="12"/>
  <c r="N606" i="12" s="1"/>
  <c r="O532" i="12"/>
  <c r="O527" i="12"/>
  <c r="O543" i="12"/>
  <c r="O528" i="12"/>
  <c r="O547" i="12"/>
  <c r="N530" i="12"/>
  <c r="O534" i="12"/>
  <c r="N538" i="12"/>
  <c r="N548" i="12"/>
  <c r="O523" i="12"/>
  <c r="N526" i="12"/>
  <c r="N588" i="12" s="1"/>
  <c r="N543" i="12"/>
  <c r="N605" i="12" s="1"/>
  <c r="O540" i="12"/>
  <c r="O554" i="12"/>
  <c r="O616" i="12" s="1"/>
  <c r="N528" i="12"/>
  <c r="O542" i="12"/>
  <c r="O604" i="12" s="1"/>
  <c r="N534" i="12"/>
  <c r="O525" i="12"/>
  <c r="O587" i="12" s="1"/>
  <c r="O649" i="12" s="1"/>
  <c r="O553" i="12"/>
  <c r="N542" i="12"/>
  <c r="O529" i="12"/>
  <c r="O591" i="12" s="1"/>
  <c r="O518" i="12"/>
  <c r="O548" i="12"/>
  <c r="N550" i="12"/>
  <c r="N612" i="12" s="1"/>
  <c r="O546" i="12"/>
  <c r="N522" i="12"/>
  <c r="N520" i="12"/>
  <c r="O522" i="12"/>
  <c r="O584" i="12" s="1"/>
  <c r="N535" i="12"/>
  <c r="O533" i="12"/>
  <c r="O541" i="12"/>
  <c r="O603" i="12" s="1"/>
  <c r="O545" i="12"/>
  <c r="O573" i="12"/>
  <c r="N547" i="12"/>
  <c r="N609" i="12" s="1"/>
  <c r="O552" i="12"/>
  <c r="N537" i="12"/>
  <c r="N599" i="12" s="1"/>
  <c r="N546" i="12"/>
  <c r="N608" i="12" s="1"/>
  <c r="N533" i="12"/>
  <c r="N595" i="12" s="1"/>
  <c r="N582" i="12" l="1"/>
  <c r="N644" i="12" s="1"/>
  <c r="O588" i="12"/>
  <c r="O650" i="12" s="1"/>
  <c r="O619" i="12"/>
  <c r="N586" i="12"/>
  <c r="N634" i="12"/>
  <c r="N611" i="12"/>
  <c r="O617" i="12"/>
  <c r="O679" i="12" s="1"/>
  <c r="O741" i="12" s="1"/>
  <c r="O613" i="12"/>
  <c r="O612" i="12"/>
  <c r="N592" i="12"/>
  <c r="N616" i="12"/>
  <c r="N594" i="12"/>
  <c r="N620" i="12"/>
  <c r="N668" i="12"/>
  <c r="N600" i="12"/>
  <c r="N589" i="12"/>
  <c r="O689" i="12"/>
  <c r="O711" i="12"/>
  <c r="N545" i="12"/>
  <c r="N607" i="12" s="1"/>
  <c r="N669" i="12" s="1"/>
  <c r="N614" i="12"/>
  <c r="N671" i="12"/>
  <c r="N613" i="12"/>
  <c r="N675" i="12" s="1"/>
  <c r="O685" i="12"/>
  <c r="N688" i="12"/>
  <c r="O710" i="12"/>
  <c r="N593" i="12"/>
  <c r="O635" i="12"/>
  <c r="N604" i="12"/>
  <c r="O610" i="12"/>
  <c r="O698" i="12"/>
  <c r="O560" i="12"/>
  <c r="N559" i="12"/>
  <c r="N621" i="12" s="1"/>
  <c r="N683" i="12" s="1"/>
  <c r="N745" i="12" s="1"/>
  <c r="N536" i="12"/>
  <c r="N597" i="12"/>
  <c r="N659" i="12" s="1"/>
  <c r="N664" i="12"/>
  <c r="N661" i="12"/>
  <c r="N723" i="12" s="1"/>
  <c r="O581" i="12"/>
  <c r="O571" i="12"/>
  <c r="O577" i="12"/>
  <c r="O580" i="12"/>
  <c r="N667" i="12"/>
  <c r="O589" i="12"/>
  <c r="O651" i="12" s="1"/>
  <c r="O607" i="12"/>
  <c r="O669" i="12" s="1"/>
  <c r="N569" i="12"/>
  <c r="O605" i="12"/>
  <c r="O530" i="12"/>
  <c r="N571" i="12"/>
  <c r="O544" i="12"/>
  <c r="O606" i="12" s="1"/>
  <c r="O653" i="12"/>
  <c r="O715" i="12" s="1"/>
  <c r="O614" i="12"/>
  <c r="O539" i="12"/>
  <c r="O601" i="12" s="1"/>
  <c r="N590" i="12"/>
  <c r="N596" i="12"/>
  <c r="N658" i="12" s="1"/>
  <c r="O666" i="12"/>
  <c r="O728" i="12" s="1"/>
  <c r="O537" i="12"/>
  <c r="O538" i="12"/>
  <c r="O611" i="12"/>
  <c r="O579" i="12"/>
  <c r="O665" i="12"/>
  <c r="N519" i="12"/>
  <c r="O531" i="12"/>
  <c r="O593" i="12" s="1"/>
  <c r="O655" i="12" s="1"/>
  <c r="N610" i="12"/>
  <c r="N523" i="12"/>
  <c r="N650" i="12"/>
  <c r="O569" i="12"/>
  <c r="O595" i="12"/>
  <c r="O657" i="12" s="1"/>
  <c r="N529" i="12"/>
  <c r="N553" i="12"/>
  <c r="N615" i="12" s="1"/>
  <c r="N677" i="12" s="1"/>
  <c r="N739" i="12" s="1"/>
  <c r="O590" i="12"/>
  <c r="O652" i="12" s="1"/>
  <c r="O583" i="12"/>
  <c r="N580" i="12"/>
  <c r="N670" i="12"/>
  <c r="N732" i="12" s="1"/>
  <c r="N583" i="12"/>
  <c r="O608" i="12"/>
  <c r="O670" i="12" s="1"/>
  <c r="N525" i="12"/>
  <c r="N568" i="12"/>
  <c r="N541" i="12"/>
  <c r="N578" i="12"/>
  <c r="O535" i="12"/>
  <c r="N574" i="12"/>
  <c r="O596" i="12"/>
  <c r="O594" i="12"/>
  <c r="O678" i="12"/>
  <c r="O740" i="12" s="1"/>
  <c r="N575" i="12"/>
  <c r="O572" i="12"/>
  <c r="O585" i="12"/>
  <c r="N539" i="12"/>
  <c r="O640" i="12"/>
  <c r="O702" i="12" s="1"/>
  <c r="N557" i="12"/>
  <c r="N619" i="12" s="1"/>
  <c r="N681" i="12" s="1"/>
  <c r="N743" i="12" s="1"/>
  <c r="N654" i="12"/>
  <c r="N674" i="12"/>
  <c r="N736" i="12" s="1"/>
  <c r="O602" i="12"/>
  <c r="O576" i="12"/>
  <c r="N657" i="12"/>
  <c r="N719" i="12" s="1"/>
  <c r="O646" i="12"/>
  <c r="O609" i="12"/>
  <c r="O671" i="12" s="1"/>
  <c r="O536" i="12"/>
  <c r="O615" i="12"/>
  <c r="O677" i="12" s="1"/>
  <c r="N584" i="12"/>
  <c r="N646" i="12" s="1"/>
  <c r="O582" i="12"/>
  <c r="O644" i="12" s="1"/>
  <c r="D5" i="17"/>
  <c r="E5" i="17"/>
  <c r="B5" i="17"/>
  <c r="C5" i="17"/>
  <c r="N737" i="12" l="1"/>
  <c r="N676" i="12"/>
  <c r="O575" i="12"/>
  <c r="O712" i="12" s="1"/>
  <c r="N648" i="12"/>
  <c r="N673" i="12"/>
  <c r="N573" i="12"/>
  <c r="N651" i="12"/>
  <c r="N731" i="12"/>
  <c r="N682" i="12"/>
  <c r="N744" i="12" s="1"/>
  <c r="N712" i="12"/>
  <c r="N678" i="12"/>
  <c r="N730" i="12"/>
  <c r="N656" i="12"/>
  <c r="N729" i="12"/>
  <c r="O719" i="12"/>
  <c r="O747" i="12"/>
  <c r="N726" i="12"/>
  <c r="O672" i="12"/>
  <c r="O668" i="12"/>
  <c r="O730" i="12" s="1"/>
  <c r="N601" i="12"/>
  <c r="N598" i="12"/>
  <c r="O733" i="12"/>
  <c r="O697" i="12"/>
  <c r="N576" i="12"/>
  <c r="O739" i="12"/>
  <c r="O714" i="12"/>
  <c r="N733" i="12"/>
  <c r="N721" i="12"/>
  <c r="N655" i="12"/>
  <c r="N717" i="12" s="1"/>
  <c r="O681" i="12"/>
  <c r="O743" i="12" s="1"/>
  <c r="O622" i="12"/>
  <c r="O684" i="12" s="1"/>
  <c r="O746" i="12" s="1"/>
  <c r="N696" i="12"/>
  <c r="O638" i="12"/>
  <c r="O563" i="12"/>
  <c r="N563" i="12"/>
  <c r="O562" i="12"/>
  <c r="O624" i="12" s="1"/>
  <c r="O686" i="12" s="1"/>
  <c r="O748" i="12" s="1"/>
  <c r="O727" i="12"/>
  <c r="O658" i="12"/>
  <c r="O720" i="12" s="1"/>
  <c r="N560" i="12"/>
  <c r="O643" i="12"/>
  <c r="O568" i="12"/>
  <c r="O630" i="12" s="1"/>
  <c r="O692" i="12" s="1"/>
  <c r="O713" i="12"/>
  <c r="N631" i="12"/>
  <c r="N556" i="12"/>
  <c r="N618" i="12" s="1"/>
  <c r="N680" i="12" s="1"/>
  <c r="N742" i="12" s="1"/>
  <c r="N630" i="12"/>
  <c r="N555" i="12"/>
  <c r="N642" i="12"/>
  <c r="N567" i="12"/>
  <c r="N585" i="12"/>
  <c r="O566" i="12"/>
  <c r="O628" i="12" s="1"/>
  <c r="O690" i="12" s="1"/>
  <c r="O641" i="12"/>
  <c r="N662" i="12"/>
  <c r="N587" i="12"/>
  <c r="O645" i="12"/>
  <c r="O570" i="12"/>
  <c r="N666" i="12"/>
  <c r="N591" i="12"/>
  <c r="N652" i="12"/>
  <c r="N577" i="12"/>
  <c r="N708" i="12"/>
  <c r="N633" i="12"/>
  <c r="N695" i="12" s="1"/>
  <c r="N706" i="12"/>
  <c r="O731" i="12"/>
  <c r="O656" i="12"/>
  <c r="O718" i="12" s="1"/>
  <c r="N640" i="12"/>
  <c r="N565" i="12"/>
  <c r="N566" i="12"/>
  <c r="O663" i="12"/>
  <c r="O725" i="12" s="1"/>
  <c r="O667" i="12"/>
  <c r="O592" i="12"/>
  <c r="O717" i="12"/>
  <c r="N581" i="12"/>
  <c r="N643" i="12" s="1"/>
  <c r="N705" i="12" s="1"/>
  <c r="N672" i="12"/>
  <c r="N734" i="12" s="1"/>
  <c r="N636" i="12"/>
  <c r="N561" i="12"/>
  <c r="N623" i="12" s="1"/>
  <c r="N685" i="12" s="1"/>
  <c r="N747" i="12" s="1"/>
  <c r="O673" i="12"/>
  <c r="O598" i="12"/>
  <c r="O660" i="12" s="1"/>
  <c r="O722" i="12" s="1"/>
  <c r="O634" i="12"/>
  <c r="O559" i="12"/>
  <c r="O732" i="12"/>
  <c r="O642" i="12"/>
  <c r="O567" i="12"/>
  <c r="O629" i="12" s="1"/>
  <c r="O691" i="12" s="1"/>
  <c r="O647" i="12"/>
  <c r="O709" i="12" s="1"/>
  <c r="O631" i="12"/>
  <c r="O556" i="12"/>
  <c r="O675" i="12"/>
  <c r="O600" i="12"/>
  <c r="O597" i="12"/>
  <c r="N637" i="12"/>
  <c r="N562" i="12"/>
  <c r="N579" i="12"/>
  <c r="N716" i="12" s="1"/>
  <c r="N645" i="12"/>
  <c r="N570" i="12"/>
  <c r="O706" i="12"/>
  <c r="O676" i="12"/>
  <c r="O738" i="12" s="1"/>
  <c r="O664" i="12"/>
  <c r="O726" i="12" s="1"/>
  <c r="O633" i="12"/>
  <c r="O558" i="12"/>
  <c r="O620" i="12" s="1"/>
  <c r="O682" i="12" s="1"/>
  <c r="O744" i="12" s="1"/>
  <c r="N720" i="12"/>
  <c r="O674" i="12"/>
  <c r="O599" i="12"/>
  <c r="N603" i="12"/>
  <c r="O639" i="12"/>
  <c r="O564" i="12"/>
  <c r="O708" i="12"/>
  <c r="O637" i="12" l="1"/>
  <c r="N738" i="12"/>
  <c r="N735" i="12"/>
  <c r="N710" i="12"/>
  <c r="N635" i="12"/>
  <c r="N697" i="12" s="1"/>
  <c r="N713" i="12"/>
  <c r="N660" i="12"/>
  <c r="N722" i="12" s="1"/>
  <c r="N663" i="12"/>
  <c r="N725" i="12" s="1"/>
  <c r="O703" i="12"/>
  <c r="N638" i="12"/>
  <c r="N700" i="12" s="1"/>
  <c r="N718" i="12"/>
  <c r="O734" i="12"/>
  <c r="O659" i="12"/>
  <c r="O721" i="12" s="1"/>
  <c r="N702" i="12"/>
  <c r="N627" i="12"/>
  <c r="N689" i="12" s="1"/>
  <c r="O699" i="12"/>
  <c r="O693" i="12"/>
  <c r="O618" i="12"/>
  <c r="O680" i="12" s="1"/>
  <c r="O742" i="12" s="1"/>
  <c r="N698" i="12"/>
  <c r="N728" i="12"/>
  <c r="N653" i="12"/>
  <c r="N715" i="12" s="1"/>
  <c r="N622" i="12"/>
  <c r="N684" i="12" s="1"/>
  <c r="N746" i="12" s="1"/>
  <c r="N625" i="12"/>
  <c r="N687" i="12" s="1"/>
  <c r="N724" i="12"/>
  <c r="N649" i="12"/>
  <c r="N711" i="12" s="1"/>
  <c r="N704" i="12"/>
  <c r="N629" i="12"/>
  <c r="N691" i="12" s="1"/>
  <c r="O729" i="12"/>
  <c r="O654" i="12"/>
  <c r="O716" i="12" s="1"/>
  <c r="O736" i="12"/>
  <c r="O661" i="12"/>
  <c r="O723" i="12" s="1"/>
  <c r="O735" i="12"/>
  <c r="N692" i="12"/>
  <c r="N617" i="12"/>
  <c r="N679" i="12" s="1"/>
  <c r="N741" i="12" s="1"/>
  <c r="N647" i="12"/>
  <c r="N709" i="12" s="1"/>
  <c r="O695" i="12"/>
  <c r="N699" i="12"/>
  <c r="N624" i="12"/>
  <c r="N686" i="12" s="1"/>
  <c r="N748" i="12" s="1"/>
  <c r="N628" i="12"/>
  <c r="N690" i="12" s="1"/>
  <c r="O707" i="12"/>
  <c r="O632" i="12"/>
  <c r="O694" i="12" s="1"/>
  <c r="N693" i="12"/>
  <c r="O700" i="12"/>
  <c r="O625" i="12"/>
  <c r="O687" i="12" s="1"/>
  <c r="N740" i="12"/>
  <c r="N665" i="12"/>
  <c r="N727" i="12" s="1"/>
  <c r="N714" i="12"/>
  <c r="N639" i="12"/>
  <c r="N701" i="12" s="1"/>
  <c r="O737" i="12"/>
  <c r="O662" i="12"/>
  <c r="O724" i="12" s="1"/>
  <c r="N707" i="12"/>
  <c r="N632" i="12"/>
  <c r="N694" i="12" s="1"/>
  <c r="O704" i="12"/>
  <c r="O705" i="12"/>
  <c r="O701" i="12"/>
  <c r="O626" i="12"/>
  <c r="O688" i="12" s="1"/>
  <c r="O696" i="12"/>
  <c r="O621" i="12"/>
  <c r="O683" i="12" s="1"/>
  <c r="O745" i="12" s="1"/>
  <c r="N641" i="12"/>
  <c r="N703" i="12" s="1"/>
  <c r="E3" i="17" l="1"/>
  <c r="D3" i="17"/>
  <c r="B3" i="17"/>
  <c r="C3" i="17"/>
  <c r="D11" i="14"/>
  <c r="C13" i="13"/>
  <c r="B4" i="17" l="1"/>
  <c r="E4" i="17" l="1"/>
  <c r="D4" i="17"/>
  <c r="C4" i="17"/>
  <c r="O8" i="13" l="1"/>
  <c r="J12" i="4"/>
  <c r="I12" i="4"/>
  <c r="F34" i="5"/>
  <c r="F24" i="5"/>
  <c r="E34" i="5"/>
  <c r="E24" i="5"/>
  <c r="D34" i="5"/>
  <c r="D24" i="5"/>
  <c r="F15" i="5"/>
  <c r="E15" i="5"/>
  <c r="D15" i="5"/>
  <c r="J34" i="5"/>
  <c r="J33" i="5"/>
  <c r="I34" i="5"/>
  <c r="I33" i="5"/>
  <c r="H34" i="5"/>
  <c r="H33" i="5"/>
  <c r="J24" i="5"/>
  <c r="J20" i="5"/>
  <c r="I24" i="5"/>
  <c r="I20" i="5"/>
  <c r="H24" i="5"/>
  <c r="H20" i="5"/>
  <c r="N20" i="5"/>
  <c r="J31" i="5"/>
  <c r="N5" i="5"/>
  <c r="M20" i="5"/>
  <c r="I31" i="5"/>
  <c r="M5" i="5"/>
  <c r="L20" i="5"/>
  <c r="H31" i="5"/>
  <c r="L5" i="5"/>
  <c r="J15" i="5"/>
  <c r="J12" i="5"/>
  <c r="J4" i="5"/>
  <c r="I15" i="5"/>
  <c r="I12" i="5"/>
  <c r="H15" i="5"/>
  <c r="H12" i="5"/>
  <c r="F34" i="3"/>
  <c r="F32" i="3"/>
  <c r="F30" i="3"/>
  <c r="F28" i="3"/>
  <c r="F22" i="3"/>
  <c r="E34" i="3"/>
  <c r="E32" i="3"/>
  <c r="E30" i="3"/>
  <c r="E28" i="3"/>
  <c r="E22" i="3"/>
  <c r="D34" i="3"/>
  <c r="D32" i="3"/>
  <c r="D30" i="3"/>
  <c r="D28" i="3"/>
  <c r="D22" i="3"/>
  <c r="I4" i="5"/>
  <c r="F31" i="3"/>
  <c r="E31" i="3"/>
  <c r="F19" i="3"/>
  <c r="F18" i="3"/>
  <c r="E19" i="3"/>
  <c r="E18" i="3"/>
  <c r="D19" i="3"/>
  <c r="D18" i="3"/>
  <c r="F15" i="3"/>
  <c r="F6" i="3"/>
  <c r="E15" i="3"/>
  <c r="E6" i="3"/>
  <c r="D15" i="3"/>
  <c r="D6" i="3"/>
  <c r="J13" i="5"/>
  <c r="N4" i="5"/>
  <c r="N19" i="5"/>
  <c r="J19" i="5"/>
  <c r="J9" i="4"/>
  <c r="J11" i="4"/>
  <c r="J13" i="4"/>
  <c r="J15" i="4"/>
  <c r="I13" i="5"/>
  <c r="M4" i="5"/>
  <c r="M19" i="5"/>
  <c r="I19" i="5"/>
  <c r="I9" i="4"/>
  <c r="I11" i="4"/>
  <c r="I13" i="4"/>
  <c r="I15" i="4"/>
  <c r="H12" i="4"/>
  <c r="H13" i="5"/>
  <c r="L4" i="5"/>
  <c r="L19" i="5"/>
  <c r="H19" i="5"/>
  <c r="H9" i="4"/>
  <c r="H11" i="4"/>
  <c r="H13" i="4"/>
  <c r="H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<sst xmlns="http://schemas.openxmlformats.org/spreadsheetml/2006/main" count="1345" uniqueCount="393">
  <si>
    <t>Group</t>
  </si>
  <si>
    <t xml:space="preserve">Please write this out as a digit:  1,2, etc. </t>
  </si>
  <si>
    <t>ID</t>
  </si>
  <si>
    <t>cbirrell3</t>
  </si>
  <si>
    <t xml:space="preserve">Georgia Tech LOGIN of submitter:  such as JGARNER47 (not private!) </t>
  </si>
  <si>
    <t>Remember, just submit one file per group!</t>
  </si>
  <si>
    <t>This file is initially set to automatic formula calculations.  Once you begin to build the</t>
  </si>
  <si>
    <t xml:space="preserve">interest expense (on the income statement) and the cash and short term debt balances </t>
  </si>
  <si>
    <t xml:space="preserve">(which are on the balance sheet), you may want to switch to manual calculations so </t>
  </si>
  <si>
    <t xml:space="preserve">that Excel can "handle" the iterative nature of these calculations. </t>
  </si>
  <si>
    <t>Procter Gamble</t>
  </si>
  <si>
    <t>CONSOLIDATED STATEMENTS OF EARNINGS - USD ($) $ in Millions</t>
  </si>
  <si>
    <t>12 Months Ended</t>
  </si>
  <si>
    <t>Jun. 30, 2022</t>
  </si>
  <si>
    <t>Jun. 30, 2023</t>
  </si>
  <si>
    <t>Jun. 30, 2024</t>
  </si>
  <si>
    <t>Net Sales</t>
  </si>
  <si>
    <t>Cost of Goods and Services Sold</t>
  </si>
  <si>
    <t>Selling, General and Administrative Expense</t>
  </si>
  <si>
    <t>Goodwill &amp; Indefinite Lived Intangible Asset Impairment Charges</t>
  </si>
  <si>
    <t>Operating Income (also known as EBIT)</t>
  </si>
  <si>
    <t>Interest Expense</t>
  </si>
  <si>
    <t xml:space="preserve"> </t>
  </si>
  <si>
    <t>Investment Income, Interest</t>
  </si>
  <si>
    <t>Other Nonoperating Income (Expense)</t>
  </si>
  <si>
    <t>Earnings from Continuing Operations Before Income Taxes</t>
  </si>
  <si>
    <t>Income Taxes on Continuing Operations</t>
  </si>
  <si>
    <t>Net Earnings</t>
  </si>
  <si>
    <t>Net Earnings Attributable to Noncontrolling Interest</t>
  </si>
  <si>
    <t>Net Income (Loss) Attributable to Parent</t>
  </si>
  <si>
    <t>BASIC NET EARNINGS PER COMMON SHARE</t>
  </si>
  <si>
    <t> </t>
  </si>
  <si>
    <t>Earnings Per Share, Basic</t>
  </si>
  <si>
    <t>DILUTED NET EARNINGS PER COMMON SHARE</t>
  </si>
  <si>
    <t>Earnings Per Share, Diluted</t>
  </si>
  <si>
    <t>Dividends</t>
  </si>
  <si>
    <t>CONSOLIDATED BALANCE SHEETS - USD ($) shares in Millions, $ in Millions</t>
  </si>
  <si>
    <t>CURRENT ASSETS</t>
  </si>
  <si>
    <t>Cash, Cash Equivalents, Restricted Cash and Restricted Cash Equivalents</t>
  </si>
  <si>
    <t>Accounts Receivable, after Allowance for Credit Loss, Current</t>
  </si>
  <si>
    <t>INVENTORIES</t>
  </si>
  <si>
    <t>Inventory, Raw Materials and Supplies, Net of Reserves</t>
  </si>
  <si>
    <t>Inventory, Work in Process, Net of Reserves</t>
  </si>
  <si>
    <t>Inventory, Finished Goods, Net of Reserves</t>
  </si>
  <si>
    <t>Inventory, Net, Total</t>
  </si>
  <si>
    <t>Prepaid Expense and Other Assets, Current</t>
  </si>
  <si>
    <t>Assets, Current</t>
  </si>
  <si>
    <t>Property, Plant and Equipment, Net</t>
  </si>
  <si>
    <t>Goodwill</t>
  </si>
  <si>
    <t>Intangible Assets, Net (Excluding Goodwill)</t>
  </si>
  <si>
    <t>Other Assets, Noncurrent</t>
  </si>
  <si>
    <t>Assets</t>
  </si>
  <si>
    <t>CURRENT LIABILITIES</t>
  </si>
  <si>
    <t>Accounts Payable, Current</t>
  </si>
  <si>
    <t>Accrued Liabilities, Current</t>
  </si>
  <si>
    <t>Debt, Current</t>
  </si>
  <si>
    <t>Liabilities, Current</t>
  </si>
  <si>
    <t>Long-term Debt, Excluding Current Maturities</t>
  </si>
  <si>
    <t>Deferred Income Tax Liabilities, Net</t>
  </si>
  <si>
    <t>Other Liabilities, Noncurrent</t>
  </si>
  <si>
    <t>Liabilities</t>
  </si>
  <si>
    <t>SHAREHOLDERS' EQUITY</t>
  </si>
  <si>
    <t>Preferred Stock</t>
  </si>
  <si>
    <t>Common Stock, Value, Issued</t>
  </si>
  <si>
    <t>Additional Paid in Capital</t>
  </si>
  <si>
    <t>Reserve For ESOP Debt Retirement</t>
  </si>
  <si>
    <t>Accumulated Other Comprehensive Income (Loss), Net of Tax</t>
  </si>
  <si>
    <t>Treasury Stock, Value</t>
  </si>
  <si>
    <t>Retained Earnings (Accumulated Deficit)</t>
  </si>
  <si>
    <t>Stockholders' Equity Attributable to Noncontrolling Interest</t>
  </si>
  <si>
    <t>Stockholders' Equity, Including Portion Attributable to Noncontrolling Interest</t>
  </si>
  <si>
    <t>Liabilities and Equity</t>
  </si>
  <si>
    <t>Common Stock, Shares, Issued</t>
  </si>
  <si>
    <t>Common Stock, Par or Stated Value Per Share</t>
  </si>
  <si>
    <t>Common Stock, Shares Authorized</t>
  </si>
  <si>
    <t>Treasury Stock, Shares</t>
  </si>
  <si>
    <t>Income Statements</t>
  </si>
  <si>
    <t>Historical</t>
  </si>
  <si>
    <t>Forecast</t>
  </si>
  <si>
    <t>Col h formulas</t>
  </si>
  <si>
    <t>Net Interest Expense</t>
  </si>
  <si>
    <t>Placing a YELLOW background is a good idea when building the model.  I use a YELLOW</t>
  </si>
  <si>
    <t>background for any number I initially "hardcode" as a reminder I need to write a formula later!</t>
  </si>
  <si>
    <t>No need to forecast earnings attributable to non-controlling interest</t>
  </si>
  <si>
    <t>Dividends (Common)</t>
  </si>
  <si>
    <t>Revenue growth</t>
  </si>
  <si>
    <t>COGS % Revenues</t>
  </si>
  <si>
    <t>Use 2024 data as per analysts (not average)</t>
  </si>
  <si>
    <t>SG&amp;A % Revenues</t>
  </si>
  <si>
    <t>Goodwill Impairment % Revenues</t>
  </si>
  <si>
    <t>Assume 0% going forward</t>
  </si>
  <si>
    <t>Other non-operating income, net % Revenues</t>
  </si>
  <si>
    <t>Interest % ST and LT Debt</t>
  </si>
  <si>
    <t>Tax rate (% of EBT)</t>
  </si>
  <si>
    <t>Payout ratios</t>
  </si>
  <si>
    <t>Dividends ($)</t>
  </si>
  <si>
    <t>Please read case instructions about dividend forecast!</t>
  </si>
  <si>
    <t>Dividend 0/1</t>
  </si>
  <si>
    <t xml:space="preserve">Interest % Cash </t>
  </si>
  <si>
    <t>Consolidated Statements of Cash Flows - USD ($)</t>
  </si>
  <si>
    <t>$ in Millions</t>
  </si>
  <si>
    <t>Cash flows from operating activities:</t>
  </si>
  <si>
    <t>Net earnings</t>
  </si>
  <si>
    <t>Adjustments to reconcile net earnings to operating cash flow</t>
  </si>
  <si>
    <t>Deferred income taxes</t>
  </si>
  <si>
    <t>Other long term liabilities</t>
  </si>
  <si>
    <t>Accounts receivable</t>
  </si>
  <si>
    <t>Inventories</t>
  </si>
  <si>
    <t>Other current assets</t>
  </si>
  <si>
    <t>Accounts payable and accrued liabilities</t>
  </si>
  <si>
    <t>ESOP</t>
  </si>
  <si>
    <t>Net cash provided by operating activities</t>
  </si>
  <si>
    <t>Cash flows from investing activities:</t>
  </si>
  <si>
    <t>Purchase/sale of plant assets</t>
  </si>
  <si>
    <t>Net cash used in investing activities</t>
  </si>
  <si>
    <t>Cash flows from financing activities:</t>
  </si>
  <si>
    <t>Net short-term borrowings (repayments)</t>
  </si>
  <si>
    <t>Long-term borrowings (repayments)</t>
  </si>
  <si>
    <t>Issuance of common stock</t>
  </si>
  <si>
    <t>Issuance of preferred stock</t>
  </si>
  <si>
    <t>Dividends paid</t>
  </si>
  <si>
    <t>Treasury stock purchases</t>
  </si>
  <si>
    <t>Net cash used in financing activities</t>
  </si>
  <si>
    <t xml:space="preserve">Total change in cash </t>
  </si>
  <si>
    <t>Cash and cash equivalents continuing operations - beginning of period</t>
  </si>
  <si>
    <t>Cash and cash equivalents continuing operations - end of period</t>
  </si>
  <si>
    <t xml:space="preserve">Checks to Balance sheet?  </t>
  </si>
  <si>
    <t>Historicals</t>
  </si>
  <si>
    <t>Simplified formula for Cell H4</t>
  </si>
  <si>
    <t>Formulas for 2024 blue/green)</t>
  </si>
  <si>
    <t>Cell L4 is all assets and Cell L5 is all L + E except short term debt</t>
  </si>
  <si>
    <t>Simplified formula for H19</t>
  </si>
  <si>
    <t>Common Stock, Par + Additional Paid in Capital</t>
  </si>
  <si>
    <t>Even if you keep non-controlling interest constant, the 2023 balance should be 2022 balance PLUS what you are forecasting below!  (Row 61)</t>
  </si>
  <si>
    <t>The above statement is true for all balance sheet items…that is, even if it stays constant, the formula should be PRIOR balance PLUS the CHANGE (in the input section below)</t>
  </si>
  <si>
    <t>Assumptions</t>
  </si>
  <si>
    <t>A</t>
  </si>
  <si>
    <t>Minimum cash balance</t>
  </si>
  <si>
    <t>Property, Plant and Equipment, Net as % of EBIT (1-T)</t>
  </si>
  <si>
    <t>Source: Aswath Damodaran and P&amp;G analysts</t>
  </si>
  <si>
    <t>Other Assets, Noncurrent % of revenues</t>
  </si>
  <si>
    <t>L/E</t>
  </si>
  <si>
    <t>Issues from LTD</t>
  </si>
  <si>
    <t>Payoff LTD</t>
  </si>
  <si>
    <t xml:space="preserve">L/E </t>
  </si>
  <si>
    <t>Deferred Income Tax Liabilities, % Revenues</t>
  </si>
  <si>
    <t>Other long-term liabilities</t>
  </si>
  <si>
    <t>New issues of stock</t>
  </si>
  <si>
    <t>Buyback of stock</t>
  </si>
  <si>
    <t>Preferred stock new issues</t>
  </si>
  <si>
    <t>Discounted Cash Flow Analysis</t>
  </si>
  <si>
    <t>EBIT</t>
  </si>
  <si>
    <t>Taxes expensed</t>
  </si>
  <si>
    <t>Deferred taxes</t>
  </si>
  <si>
    <t>Change in Long term liabilities</t>
  </si>
  <si>
    <t>EBIT after tax</t>
  </si>
  <si>
    <t>Change in net working capital</t>
  </si>
  <si>
    <t>Net capital expenditures</t>
  </si>
  <si>
    <t>FCF</t>
  </si>
  <si>
    <t>Terminal value</t>
  </si>
  <si>
    <t>Total CFs</t>
  </si>
  <si>
    <t>Value of the firm</t>
  </si>
  <si>
    <t>Market value of firm</t>
  </si>
  <si>
    <t>Less value of debt/preferred/net of cash</t>
  </si>
  <si>
    <t>MV Debt + MV Preferred - Cash</t>
  </si>
  <si>
    <t>For Case #2, we use book value of debt , preferred stock and cash</t>
  </si>
  <si>
    <t>Value of equity</t>
  </si>
  <si>
    <t>MV equity</t>
  </si>
  <si>
    <t>In Case #4, we use market value of debt, book value of preferred, book value of cash</t>
  </si>
  <si>
    <t>Per share price</t>
  </si>
  <si>
    <t>estimate as of June 30, 2024</t>
  </si>
  <si>
    <t>Supporting schedules: Change in NWC and Net Capital Expenditures</t>
  </si>
  <si>
    <t>Net working Capital</t>
  </si>
  <si>
    <t>Accounts Receivable</t>
  </si>
  <si>
    <t>Inventory</t>
  </si>
  <si>
    <t>Total Current assets</t>
  </si>
  <si>
    <t>Accounts payable/accruals</t>
  </si>
  <si>
    <t>Total Current liabilities</t>
  </si>
  <si>
    <t>NWC</t>
  </si>
  <si>
    <t>Change NWC</t>
  </si>
  <si>
    <t>Capital Expenditures</t>
  </si>
  <si>
    <t>Church &amp; Dwight</t>
  </si>
  <si>
    <t>STEPAN</t>
  </si>
  <si>
    <t>Johnson &amp; Johnson</t>
  </si>
  <si>
    <t>Pepsi</t>
  </si>
  <si>
    <t>Min</t>
  </si>
  <si>
    <t>Quartile 1</t>
  </si>
  <si>
    <t>Median</t>
  </si>
  <si>
    <t>Quartile 3</t>
  </si>
  <si>
    <t>Max</t>
  </si>
  <si>
    <t>P/E</t>
  </si>
  <si>
    <t>P/B</t>
  </si>
  <si>
    <t>P/Sales</t>
  </si>
  <si>
    <t>Comparable Analysis</t>
  </si>
  <si>
    <t>Data</t>
  </si>
  <si>
    <t>Procter &amp; Gamble</t>
  </si>
  <si>
    <t>Mil</t>
  </si>
  <si>
    <t xml:space="preserve">Source Detail </t>
  </si>
  <si>
    <t xml:space="preserve">Multiple of another firm </t>
  </si>
  <si>
    <t>Sales</t>
  </si>
  <si>
    <t>Apply this to P&amp;G</t>
  </si>
  <si>
    <t>Net earnings attributable to P&amp;G</t>
  </si>
  <si>
    <t>Obtain implied per share price (PG)</t>
  </si>
  <si>
    <t>Preferred dividends</t>
  </si>
  <si>
    <t>Book value of equity</t>
  </si>
  <si>
    <t>Implied Price PG /  (Sales/share, PG) = P/S for competitor</t>
  </si>
  <si>
    <t>Weighted average shares outstanding</t>
  </si>
  <si>
    <t>Implied Price PG  = (Sales/share,PG)  x  P/S for competitor</t>
  </si>
  <si>
    <t>Shares outstanding</t>
  </si>
  <si>
    <t>Sales per share</t>
  </si>
  <si>
    <t>Book value per share</t>
  </si>
  <si>
    <t>EPS</t>
  </si>
  <si>
    <t>Use the 10-K for period ending 12/31/2023</t>
  </si>
  <si>
    <t>Source Detail</t>
  </si>
  <si>
    <t>Implied Price</t>
  </si>
  <si>
    <t>Net earnings attributable to parent</t>
  </si>
  <si>
    <t>Price-to-Sales</t>
  </si>
  <si>
    <t>Price-to-Book</t>
  </si>
  <si>
    <t>Price-to-Earnings</t>
  </si>
  <si>
    <t>The above "implied prices" are for Procter &amp; Gamble</t>
  </si>
  <si>
    <t>Share price</t>
  </si>
  <si>
    <t>Price-to-Sales ratio</t>
  </si>
  <si>
    <t>Price-to-Earnings ratio</t>
  </si>
  <si>
    <t>Price-to-Book ratio</t>
  </si>
  <si>
    <t>Use 10-K for period ending Jan 1, 2024</t>
  </si>
  <si>
    <t>Use 10-K ending Dec 31 2023</t>
  </si>
  <si>
    <t>PepsiCo</t>
  </si>
  <si>
    <t>WACC, P&amp;G</t>
  </si>
  <si>
    <r>
      <t>WACC = D/V x R</t>
    </r>
    <r>
      <rPr>
        <b/>
        <vertAlign val="subscript"/>
        <sz val="14"/>
        <color theme="1"/>
        <rFont val="Arial"/>
        <family val="2"/>
      </rPr>
      <t>d</t>
    </r>
    <r>
      <rPr>
        <b/>
        <sz val="14"/>
        <color theme="1"/>
        <rFont val="Arial"/>
        <family val="2"/>
      </rPr>
      <t xml:space="preserve"> (1-T) + E/V x R</t>
    </r>
    <r>
      <rPr>
        <b/>
        <vertAlign val="subscript"/>
        <sz val="14"/>
        <color theme="1"/>
        <rFont val="Arial"/>
        <family val="2"/>
      </rPr>
      <t>e</t>
    </r>
    <r>
      <rPr>
        <b/>
        <sz val="14"/>
        <color theme="1"/>
        <rFont val="Arial"/>
        <family val="2"/>
      </rPr>
      <t xml:space="preserve"> + P/V x Rp</t>
    </r>
  </si>
  <si>
    <t>V = D + E + P</t>
  </si>
  <si>
    <t>This sensitivity table will be used for Case 4 only and will be required for Case 4 only!</t>
  </si>
  <si>
    <t>Market value of debt</t>
  </si>
  <si>
    <t>Pull from MV Debt and Weighted YTM worksheet</t>
  </si>
  <si>
    <t>Market value of equity</t>
  </si>
  <si>
    <t>Pull the price from the stock return sheet; multiply by shares o/s</t>
  </si>
  <si>
    <t>WACC</t>
  </si>
  <si>
    <t>Preferred Equity</t>
  </si>
  <si>
    <t>Pull the book value (balance sheet) value of preferred stock at t =0</t>
  </si>
  <si>
    <r>
      <t>R</t>
    </r>
    <r>
      <rPr>
        <vertAlign val="subscript"/>
        <sz val="12"/>
        <color theme="1"/>
        <rFont val="Arial"/>
        <family val="2"/>
      </rPr>
      <t>d</t>
    </r>
  </si>
  <si>
    <r>
      <t>R</t>
    </r>
    <r>
      <rPr>
        <vertAlign val="subscript"/>
        <sz val="12"/>
        <color theme="1"/>
        <rFont val="Arial"/>
        <family val="2"/>
      </rPr>
      <t>e</t>
    </r>
  </si>
  <si>
    <t>Pull from Required return Equity worksheet</t>
  </si>
  <si>
    <t>Rp</t>
  </si>
  <si>
    <t>Preferred dividends divided by Preferred equity</t>
  </si>
  <si>
    <t>Tax rate</t>
  </si>
  <si>
    <t>Pull from Multiple Valuation Worksheet</t>
  </si>
  <si>
    <t>Pull from Beta computation worksheet</t>
  </si>
  <si>
    <t>Growth in FCF</t>
  </si>
  <si>
    <t>Growth</t>
  </si>
  <si>
    <t>Procter &amp; Gamble Long and Short Term Debt (book values from 10-K)</t>
  </si>
  <si>
    <t>As of June 30</t>
  </si>
  <si>
    <t>Year Maturity</t>
  </si>
  <si>
    <t>Coupon (%)</t>
  </si>
  <si>
    <t>Book Value</t>
  </si>
  <si>
    <t>Price</t>
  </si>
  <si>
    <t>Market value</t>
  </si>
  <si>
    <t>Weight</t>
  </si>
  <si>
    <t>YTM (%)</t>
  </si>
  <si>
    <t>YTM x Weight</t>
  </si>
  <si>
    <t>LONG-TERM DEBT</t>
  </si>
  <si>
    <t>0.50% EUR note due October 2024</t>
  </si>
  <si>
    <t>0.63% EUR note due October 2024</t>
  </si>
  <si>
    <t>0.55% USD note due October 2025</t>
  </si>
  <si>
    <t>4.10% USD note due January 2026</t>
  </si>
  <si>
    <t>2.70% USD note due February 2026</t>
  </si>
  <si>
    <t>1.00% USD note due April 2026</t>
  </si>
  <si>
    <t>3.25% EUR note due August 2026</t>
  </si>
  <si>
    <t>2.45% USD note due November 2026</t>
  </si>
  <si>
    <t>1.90% USD note due February 2027</t>
  </si>
  <si>
    <t>2.80% USD note due March 2027</t>
  </si>
  <si>
    <t>4.88% EUR note due May 2027</t>
  </si>
  <si>
    <t>2.85% USD note due August 2027</t>
  </si>
  <si>
    <t>3.95% USD note due January 2028</t>
  </si>
  <si>
    <t>3.15% USD note due April 2028</t>
  </si>
  <si>
    <t>1.20% EUR note due October 2028</t>
  </si>
  <si>
    <t>4.35% USE note due January 2029</t>
  </si>
  <si>
    <t>1.25% EUR note due October 2029</t>
  </si>
  <si>
    <t>3.00% USD note due March 2030</t>
  </si>
  <si>
    <t>0.35% EUR note due May 2030</t>
  </si>
  <si>
    <t>1.20% USD note due October 2030</t>
  </si>
  <si>
    <t>1.95% USD note due April 2031</t>
  </si>
  <si>
    <t>3.25% EUR note due August 2031</t>
  </si>
  <si>
    <t>2.30% USD note due February 2032</t>
  </si>
  <si>
    <t>4.05% USD note due January 2033</t>
  </si>
  <si>
    <t>4.55% USD note due January 2034</t>
  </si>
  <si>
    <t>3.20% USD note due April 2034</t>
  </si>
  <si>
    <t>5.55% USD note due March 2037</t>
  </si>
  <si>
    <t>1.88% EUR note due October 2038</t>
  </si>
  <si>
    <t>3.55% USD note due March 2040</t>
  </si>
  <si>
    <t>0.90% EUR note due November 2041</t>
  </si>
  <si>
    <t>All other long-term debt</t>
  </si>
  <si>
    <t>Current portion of long-term debt</t>
  </si>
  <si>
    <t>TOTL</t>
  </si>
  <si>
    <t>weighted average YTM for long-term debt</t>
  </si>
  <si>
    <t>Short Term Debt</t>
  </si>
  <si>
    <t>Year of Maturity</t>
  </si>
  <si>
    <t>Rate (%)</t>
  </si>
  <si>
    <t>Book value</t>
  </si>
  <si>
    <t>Commercial paper</t>
  </si>
  <si>
    <t>Other short term debt</t>
  </si>
  <si>
    <t>Current portion long-term debt</t>
  </si>
  <si>
    <t>Total short-term debt</t>
  </si>
  <si>
    <t>weighted average YTM for short-term debt</t>
  </si>
  <si>
    <t>Summary and Computation of Weighted Average YTM (Overall)</t>
  </si>
  <si>
    <t>MV</t>
  </si>
  <si>
    <t>Wt x YTM</t>
  </si>
  <si>
    <t>LT debt</t>
  </si>
  <si>
    <t>ST debt</t>
  </si>
  <si>
    <t>Total Debt</t>
  </si>
  <si>
    <t>Total weighted YTM</t>
  </si>
  <si>
    <t>Name</t>
  </si>
  <si>
    <t>Ticker</t>
  </si>
  <si>
    <t>Coupon</t>
  </si>
  <si>
    <t>Maturity Year</t>
  </si>
  <si>
    <t>Price (%)</t>
  </si>
  <si>
    <t>Yield (%)</t>
  </si>
  <si>
    <t>Procter &amp; Gamble Co/The</t>
  </si>
  <si>
    <t>PG</t>
  </si>
  <si>
    <t>Source: Bloomberg on the closest trading date to 6/28/2024</t>
  </si>
  <si>
    <t>Required return on equity</t>
  </si>
  <si>
    <r>
      <t>R</t>
    </r>
    <r>
      <rPr>
        <vertAlign val="subscript"/>
        <sz val="14"/>
        <color theme="1"/>
        <rFont val="Arial"/>
        <family val="2"/>
      </rPr>
      <t>e</t>
    </r>
    <r>
      <rPr>
        <sz val="14"/>
        <color theme="1"/>
        <rFont val="Arial"/>
        <family val="2"/>
      </rPr>
      <t xml:space="preserve"> = R</t>
    </r>
    <r>
      <rPr>
        <vertAlign val="subscript"/>
        <sz val="14"/>
        <color theme="1"/>
        <rFont val="Arial"/>
        <family val="2"/>
      </rPr>
      <t>f</t>
    </r>
    <r>
      <rPr>
        <sz val="14"/>
        <color theme="1"/>
        <rFont val="Arial"/>
        <family val="2"/>
      </rPr>
      <t xml:space="preserve"> + Beta (R</t>
    </r>
    <r>
      <rPr>
        <vertAlign val="subscript"/>
        <sz val="14"/>
        <color theme="1"/>
        <rFont val="Arial"/>
        <family val="2"/>
      </rPr>
      <t>m</t>
    </r>
    <r>
      <rPr>
        <sz val="14"/>
        <color theme="1"/>
        <rFont val="Arial"/>
        <family val="2"/>
      </rPr>
      <t xml:space="preserve"> - R</t>
    </r>
    <r>
      <rPr>
        <vertAlign val="subscript"/>
        <sz val="14"/>
        <color theme="1"/>
        <rFont val="Arial"/>
        <family val="2"/>
      </rPr>
      <t>f</t>
    </r>
    <r>
      <rPr>
        <sz val="14"/>
        <color theme="1"/>
        <rFont val="Arial"/>
        <family val="2"/>
      </rPr>
      <t>)</t>
    </r>
  </si>
  <si>
    <t>Beta computation period</t>
  </si>
  <si>
    <t>Choice of market returns</t>
  </si>
  <si>
    <t>S&amp;P</t>
  </si>
  <si>
    <t>Market returns</t>
  </si>
  <si>
    <t>Risk-free rate</t>
  </si>
  <si>
    <t>30 year treasury 6/28/2024 (www.treasury.gov)</t>
  </si>
  <si>
    <t>VW</t>
  </si>
  <si>
    <t>Beta</t>
  </si>
  <si>
    <t>Pull from Beta Worksheet (Write if statement, or Index/Match for all possibilities of B4 and B5 above)</t>
  </si>
  <si>
    <t>EW</t>
  </si>
  <si>
    <t>Market risk premium</t>
  </si>
  <si>
    <t>Pablo Fernandez Survey 2024</t>
  </si>
  <si>
    <t>Re</t>
  </si>
  <si>
    <t>PERMNO</t>
  </si>
  <si>
    <t>Names Date</t>
  </si>
  <si>
    <t>CUSIP</t>
  </si>
  <si>
    <t>Ticker Symbol</t>
  </si>
  <si>
    <t>Company Name</t>
  </si>
  <si>
    <t>PERMCO</t>
  </si>
  <si>
    <t>CUSIP Header</t>
  </si>
  <si>
    <t>Price or Bid/Ask Average</t>
  </si>
  <si>
    <t>Returns</t>
  </si>
  <si>
    <t>Value-Weighted Return-incl. dividends</t>
  </si>
  <si>
    <t>Equal-Weighted Return-incl. dividends</t>
  </si>
  <si>
    <t>Return on the S&amp;P 500 Index</t>
  </si>
  <si>
    <t>Formatted date</t>
  </si>
  <si>
    <t>Returns for Series 1</t>
  </si>
  <si>
    <t>VW Series 1</t>
  </si>
  <si>
    <t>EW Series 1</t>
  </si>
  <si>
    <t>S&amp;P Series 1</t>
  </si>
  <si>
    <t>Returns for Series 2</t>
  </si>
  <si>
    <t>VW Series 2</t>
  </si>
  <si>
    <t>EW Series 2</t>
  </si>
  <si>
    <t>S&amp;P Series 2</t>
  </si>
  <si>
    <t>10K date</t>
  </si>
  <si>
    <t>10k month</t>
  </si>
  <si>
    <t>10 k day</t>
  </si>
  <si>
    <t>10 k year</t>
  </si>
  <si>
    <t>eom based on 10K</t>
  </si>
  <si>
    <t>one month prior</t>
  </si>
  <si>
    <t>one month prior, EOM</t>
  </si>
  <si>
    <t>74271810</t>
  </si>
  <si>
    <t>PROCTER &amp; GAMBLE CO</t>
  </si>
  <si>
    <t>Date</t>
  </si>
  <si>
    <t>Stock price</t>
  </si>
  <si>
    <t>Month to use for last trade date</t>
  </si>
  <si>
    <t>Stock price closest to date of 10-K without going past</t>
  </si>
  <si>
    <t>Yahoo Close Price (not adjusted close)</t>
  </si>
  <si>
    <t>Months prior #1</t>
  </si>
  <si>
    <t>I've hardcoded the price in AB5; nothing needed</t>
  </si>
  <si>
    <t>Months prior #2</t>
  </si>
  <si>
    <t>Series 1 Beg</t>
  </si>
  <si>
    <t>Series 1 End</t>
  </si>
  <si>
    <t>Series 2 Beg</t>
  </si>
  <si>
    <t>Series 2 End</t>
  </si>
  <si>
    <t>Time/Market</t>
  </si>
  <si>
    <t>Betas</t>
  </si>
  <si>
    <t xml:space="preserve">We regress Company returns on Market Index returns: </t>
  </si>
  <si>
    <t>60 month VW</t>
  </si>
  <si>
    <r>
      <t xml:space="preserve">Returns (P&amp;G) = </t>
    </r>
    <r>
      <rPr>
        <b/>
        <sz val="11"/>
        <color indexed="8"/>
        <rFont val="Calibri"/>
        <family val="2"/>
      </rPr>
      <t>β</t>
    </r>
    <r>
      <rPr>
        <b/>
        <vertAlign val="subscript"/>
        <sz val="11"/>
        <color indexed="8"/>
        <rFont val="Calibri"/>
        <family val="2"/>
      </rPr>
      <t>1</t>
    </r>
    <r>
      <rPr>
        <b/>
        <sz val="11"/>
        <color indexed="8"/>
        <rFont val="Calibri"/>
        <family val="2"/>
      </rPr>
      <t xml:space="preserve"> Market returns</t>
    </r>
  </si>
  <si>
    <t>60 month EW</t>
  </si>
  <si>
    <t>Where PG returns = dependent variable</t>
  </si>
  <si>
    <t>60 month S&amp;P</t>
  </si>
  <si>
    <t xml:space="preserve">Market returns = independent variable. </t>
  </si>
  <si>
    <t>120 month VW</t>
  </si>
  <si>
    <t>We will use the slope function in excel</t>
  </si>
  <si>
    <t>120 month EW</t>
  </si>
  <si>
    <t>Prove that the covariance divided by variance returns same value</t>
  </si>
  <si>
    <t>120 month S&amp;P</t>
  </si>
  <si>
    <t>Perpetual growth</t>
  </si>
  <si>
    <t>The completion of this sensitivity table is not required for Case #2; optional!</t>
  </si>
  <si>
    <t>This sensitivity table MAY be used when completing Case #2 when you hardcode the WACC!</t>
  </si>
  <si>
    <t>Another sensitivity table appears in WACC and Growth tab which is required for Case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</si>
</sst>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_(&quot;$&quot;* #,##0_);_(&quot;$&quot;* \(#,##0\);_(&quot;$&quot;* &quot;-&quot;??_);_(@_)"/>
    <numFmt numFmtId="168" formatCode="_(* #,##0.0000_);_(* \(#,##0.0000\);_(* &quot;-&quot;??_);_(@_)"/>
    <numFmt numFmtId="169" formatCode="0.0000"/>
    <numFmt numFmtId="170" formatCode="0.0\x"/>
    <numFmt numFmtId="171" formatCode="0.0000%"/>
    <numFmt numFmtId="172" formatCode="0.000%"/>
    <numFmt numFmtId="173" formatCode="0.0000\x"/>
    <numFmt numFmtId="174" formatCode="[$-409]m/d/yy\ h:mm\ AM/PM;@"/>
    <numFmt numFmtId="175" formatCode="_(* #,##0.0_);_(* \(#,##0.0\);_(* &quot;-&quot;??_);_(@_)"/>
    <numFmt numFmtId="176" formatCode="&quot;$&quot;#,##0.00"/>
    <numFmt numFmtId="177" formatCode="#,##0.000"/>
    <numFmt numFmtId="178" formatCode="_(&quot;$ &quot;#,##0_);_(&quot;$ &quot;\(#,##0\)"/>
    <numFmt numFmtId="179" formatCode="_(&quot;$ &quot;#,##0.00_);_(&quot;$ &quot;\(#,##0.00\)"/>
    <numFmt numFmtId="180" formatCode="0.000000"/>
    <numFmt numFmtId="181" formatCode="#,##0.0_);\(#,##0.0\)"/>
    <numFmt numFmtId="182" formatCode="_(&quot;$&quot;* #,##0.00000000_);_(&quot;$&quot;* \(#,##0.00000000\);_(&quot;$&quot;* &quot;-&quot;??_);_(@_)"/>
    <numFmt numFmtId="183" formatCode="_(&quot;$&quot;* #,##0_);_(&quot;$&quot;* \(#,##0\);_(&quot;$&quot;* &quot;-&quot;?_);_(@_)"/>
    <numFmt numFmtId="184" formatCode="0.000"/>
    <numFmt numFmtId="185" formatCode="0.00000E+00"/>
    <numFmt numFmtId="186" formatCode="_(* #,##0.00000_);_(* \(#,##0.00000\);_(* &quot;-&quot;??_);_(@_)"/>
    <numFmt numFmtId="187" formatCode="_(&quot;$&quot;* #,##0.0_);_(&quot;$&quot;* \(#,##0.0\);_(&quot;$&quot;* &quot;-&quot;_);_(@_)"/>
    <numFmt numFmtId="188" formatCode="&quot;$&quot;#,##0.0000_);[Red]\(&quot;$&quot;#,##0.0000\)"/>
    <numFmt numFmtId="189" formatCode="0.00000"/>
    <numFmt numFmtId="190" formatCode="_(&quot;$&quot;* #,##0.000_);_(&quot;$&quot;* \(#,##0.000\);_(&quot;$&quot;* &quot;-&quot;??_);_(@_)"/>
    <numFmt numFmtId="191" formatCode="_(* #,##0.000000_);_(* \(#,##0.000000\);_(* &quot;-&quot;??_);_(@_)"/>
    <numFmt numFmtId="192" formatCode="_(* #,##0.000_);_(* \(#,##0.000\);_(* &quot;-&quot;???_);_(@_)"/>
  </numFmts>
  <fonts count="8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9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 val="singleAccounting"/>
      <sz val="10"/>
      <color theme="1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u/>
      <sz val="11"/>
      <color indexed="8"/>
      <name val="Arial"/>
      <family val="2"/>
    </font>
    <font>
      <b/>
      <sz val="11"/>
      <color rgb="FF00B0F0"/>
      <name val="Calibri"/>
      <family val="2"/>
      <scheme val="minor"/>
    </font>
    <font>
      <b/>
      <sz val="10"/>
      <color rgb="FF00B0F0"/>
      <name val="Arial"/>
      <family val="2"/>
    </font>
    <font>
      <vertAlign val="subscript"/>
      <sz val="12"/>
      <color theme="1"/>
      <name val="Arial"/>
      <family val="2"/>
    </font>
    <font>
      <sz val="14"/>
      <color theme="1"/>
      <name val="Arial"/>
      <family val="2"/>
    </font>
    <font>
      <vertAlign val="subscript"/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sz val="10"/>
      <color rgb="FF00B050"/>
      <name val="Arial"/>
      <family val="2"/>
    </font>
    <font>
      <sz val="10"/>
      <color theme="4" tint="-0.249977111117893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2"/>
      <color theme="4"/>
      <name val="Arial"/>
      <family val="2"/>
    </font>
    <font>
      <sz val="12"/>
      <color rgb="FF00B050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0"/>
      <color theme="1"/>
      <name val="Inherit"/>
    </font>
    <font>
      <b/>
      <sz val="8"/>
      <color theme="1"/>
      <name val="Inherit"/>
    </font>
    <font>
      <b/>
      <sz val="12"/>
      <color theme="4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Arial"/>
      <family val="2"/>
    </font>
    <font>
      <b/>
      <sz val="11"/>
      <color theme="4"/>
      <name val="Arial"/>
      <family val="2"/>
    </font>
    <font>
      <b/>
      <sz val="10"/>
      <color theme="4"/>
      <name val="Calibri"/>
      <family val="2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B050"/>
      <name val="Arial"/>
      <family val="2"/>
    </font>
    <font>
      <sz val="8"/>
      <name val="Calibri"/>
      <family val="2"/>
      <scheme val="minor"/>
    </font>
    <font>
      <b/>
      <sz val="10"/>
      <color theme="9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8" tint="-0.249977111117893"/>
      <name val="Arial"/>
      <family val="2"/>
    </font>
    <font>
      <sz val="14"/>
      <color rgb="FF000000"/>
      <name val="Times New Roman"/>
      <family val="1"/>
    </font>
    <font>
      <b/>
      <u/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Times New Roman"/>
      <family val="1"/>
    </font>
    <font>
      <sz val="12"/>
      <color rgb="FF0070C0"/>
      <name val="Arial"/>
      <family val="2"/>
    </font>
    <font>
      <b/>
      <sz val="11"/>
      <color theme="1"/>
      <name val="Calibri"/>
      <family val="2"/>
    </font>
    <font>
      <b/>
      <sz val="10"/>
      <color theme="4" tint="-0.249977111117893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sz val="12"/>
      <color theme="4" tint="-0.249977111117893"/>
      <name val="Arial"/>
      <family val="2"/>
    </font>
    <font>
      <sz val="11"/>
      <color theme="4"/>
      <name val="Calibri"/>
      <family val="2"/>
    </font>
    <font>
      <sz val="11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rgb="FF060606"/>
      <name val="Open Sans"/>
      <family val="2"/>
    </font>
    <font>
      <sz val="16"/>
      <color rgb="FF000000"/>
      <name val="Verdana"/>
      <family val="2"/>
    </font>
    <font>
      <sz val="10"/>
      <color theme="2" tint="-9.9978637043366805E-2"/>
      <name val="Arial"/>
      <family val="2"/>
    </font>
    <font>
      <b/>
      <sz val="10"/>
      <color theme="9" tint="-0.249977111117893"/>
      <name val="Arial"/>
      <family val="2"/>
    </font>
    <font>
      <sz val="11"/>
      <color rgb="FF0070C0"/>
      <name val="Calibri"/>
      <family val="2"/>
    </font>
    <font>
      <sz val="10"/>
      <color rgb="FFFF0000"/>
      <name val="Arial"/>
      <family val="2"/>
    </font>
    <font>
      <b/>
      <sz val="10"/>
      <color rgb="FF005296"/>
      <name val="Arial"/>
      <family val="2"/>
    </font>
    <font>
      <sz val="11"/>
      <color rgb="FF005296"/>
      <name val="Calibri"/>
      <family val="2"/>
    </font>
    <font>
      <sz val="11"/>
      <color rgb="FF005296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7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/>
    <xf numFmtId="0" fontId="7" fillId="0" borderId="0"/>
    <xf numFmtId="0" fontId="35" fillId="0" borderId="0"/>
  </cellStyleXfs>
  <cellXfs count="46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4" borderId="0" xfId="4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center" indent="5" readingOrder="1"/>
    </xf>
    <xf numFmtId="166" fontId="9" fillId="0" borderId="0" xfId="2" applyNumberFormat="1" applyFont="1"/>
    <xf numFmtId="165" fontId="12" fillId="0" borderId="0" xfId="0" applyNumberFormat="1" applyFont="1"/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Continuous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2" fontId="9" fillId="0" borderId="0" xfId="0" applyNumberFormat="1" applyFont="1" applyAlignment="1">
      <alignment horizontal="left" vertical="center" wrapText="1"/>
    </xf>
    <xf numFmtId="0" fontId="9" fillId="0" borderId="10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0" fontId="16" fillId="0" borderId="8" xfId="0" applyFont="1" applyBorder="1" applyAlignment="1">
      <alignment horizontal="right"/>
    </xf>
    <xf numFmtId="0" fontId="9" fillId="0" borderId="7" xfId="0" applyFont="1" applyBorder="1"/>
    <xf numFmtId="0" fontId="9" fillId="0" borderId="6" xfId="0" applyFont="1" applyBorder="1"/>
    <xf numFmtId="0" fontId="17" fillId="0" borderId="0" xfId="4" applyFont="1"/>
    <xf numFmtId="14" fontId="17" fillId="0" borderId="0" xfId="4" applyNumberFormat="1" applyFont="1"/>
    <xf numFmtId="0" fontId="17" fillId="0" borderId="0" xfId="4" applyFont="1" applyAlignment="1">
      <alignment horizontal="right"/>
    </xf>
    <xf numFmtId="0" fontId="17" fillId="0" borderId="0" xfId="4" applyFont="1" applyAlignment="1">
      <alignment wrapText="1"/>
    </xf>
    <xf numFmtId="0" fontId="9" fillId="0" borderId="0" xfId="0" applyFont="1" applyAlignment="1">
      <alignment horizontal="left" indent="1"/>
    </xf>
    <xf numFmtId="4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quotePrefix="1" applyFont="1"/>
    <xf numFmtId="10" fontId="0" fillId="0" borderId="0" xfId="1" applyNumberFormat="1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21" fillId="0" borderId="0" xfId="1" applyNumberFormat="1" applyFont="1"/>
    <xf numFmtId="171" fontId="21" fillId="0" borderId="0" xfId="1" applyNumberFormat="1" applyFont="1"/>
    <xf numFmtId="44" fontId="1" fillId="0" borderId="0" xfId="0" applyNumberFormat="1" applyFont="1"/>
    <xf numFmtId="42" fontId="1" fillId="0" borderId="0" xfId="0" applyNumberFormat="1" applyFont="1"/>
    <xf numFmtId="173" fontId="1" fillId="0" borderId="0" xfId="0" applyNumberFormat="1" applyFont="1"/>
    <xf numFmtId="0" fontId="24" fillId="0" borderId="0" xfId="0" applyFont="1"/>
    <xf numFmtId="0" fontId="1" fillId="0" borderId="20" xfId="0" applyFont="1" applyBorder="1"/>
    <xf numFmtId="0" fontId="1" fillId="0" borderId="22" xfId="0" applyFont="1" applyBorder="1"/>
    <xf numFmtId="0" fontId="1" fillId="0" borderId="23" xfId="0" applyFont="1" applyBorder="1"/>
    <xf numFmtId="0" fontId="9" fillId="0" borderId="24" xfId="0" applyFont="1" applyBorder="1"/>
    <xf numFmtId="0" fontId="26" fillId="0" borderId="0" xfId="0" applyFont="1"/>
    <xf numFmtId="0" fontId="27" fillId="0" borderId="0" xfId="0" applyFont="1"/>
    <xf numFmtId="0" fontId="17" fillId="0" borderId="20" xfId="4" applyFont="1" applyBorder="1"/>
    <xf numFmtId="0" fontId="18" fillId="0" borderId="23" xfId="4" applyFont="1" applyBorder="1"/>
    <xf numFmtId="0" fontId="18" fillId="0" borderId="20" xfId="4" applyFont="1" applyBorder="1"/>
    <xf numFmtId="0" fontId="18" fillId="0" borderId="11" xfId="4" applyFont="1" applyBorder="1"/>
    <xf numFmtId="0" fontId="18" fillId="0" borderId="21" xfId="4" applyFont="1" applyBorder="1"/>
    <xf numFmtId="0" fontId="18" fillId="0" borderId="22" xfId="4" applyFont="1" applyBorder="1"/>
    <xf numFmtId="0" fontId="18" fillId="0" borderId="0" xfId="4" applyFont="1"/>
    <xf numFmtId="0" fontId="18" fillId="0" borderId="22" xfId="4" applyFont="1" applyBorder="1" applyAlignment="1">
      <alignment horizontal="left"/>
    </xf>
    <xf numFmtId="0" fontId="18" fillId="0" borderId="24" xfId="4" applyFont="1" applyBorder="1"/>
    <xf numFmtId="0" fontId="18" fillId="0" borderId="1" xfId="4" applyFont="1" applyBorder="1"/>
    <xf numFmtId="0" fontId="18" fillId="0" borderId="25" xfId="4" applyFont="1" applyBorder="1"/>
    <xf numFmtId="0" fontId="13" fillId="0" borderId="0" xfId="0" applyFont="1"/>
    <xf numFmtId="176" fontId="9" fillId="0" borderId="0" xfId="0" applyNumberFormat="1" applyFont="1" applyAlignment="1">
      <alignment horizontal="center" vertical="center"/>
    </xf>
    <xf numFmtId="44" fontId="5" fillId="0" borderId="0" xfId="0" applyNumberFormat="1" applyFont="1"/>
    <xf numFmtId="44" fontId="0" fillId="0" borderId="0" xfId="0" applyNumberFormat="1"/>
    <xf numFmtId="44" fontId="27" fillId="0" borderId="0" xfId="3" applyFont="1"/>
    <xf numFmtId="0" fontId="1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4" xfId="0" applyFont="1" applyBorder="1" applyAlignment="1">
      <alignment horizontal="left" indent="1"/>
    </xf>
    <xf numFmtId="44" fontId="5" fillId="0" borderId="4" xfId="0" applyNumberFormat="1" applyFont="1" applyBorder="1"/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5" fillId="0" borderId="4" xfId="0" applyFont="1" applyBorder="1" applyAlignment="1">
      <alignment horizontal="left" indent="2"/>
    </xf>
    <xf numFmtId="170" fontId="5" fillId="0" borderId="4" xfId="0" applyNumberFormat="1" applyFont="1" applyBorder="1"/>
    <xf numFmtId="41" fontId="1" fillId="0" borderId="0" xfId="0" applyNumberFormat="1" applyFont="1"/>
    <xf numFmtId="178" fontId="39" fillId="0" borderId="0" xfId="0" applyNumberFormat="1" applyFont="1" applyAlignment="1">
      <alignment horizontal="right" vertical="top"/>
    </xf>
    <xf numFmtId="37" fontId="39" fillId="0" borderId="0" xfId="0" applyNumberFormat="1" applyFont="1" applyAlignment="1">
      <alignment horizontal="right" vertical="top"/>
    </xf>
    <xf numFmtId="0" fontId="1" fillId="3" borderId="0" xfId="0" applyFont="1" applyFill="1"/>
    <xf numFmtId="0" fontId="1" fillId="3" borderId="4" xfId="0" applyFont="1" applyFill="1" applyBorder="1"/>
    <xf numFmtId="0" fontId="9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Alignment="1">
      <alignment horizontal="left" indent="2"/>
    </xf>
    <xf numFmtId="0" fontId="40" fillId="2" borderId="0" xfId="0" applyFont="1" applyFill="1" applyAlignment="1">
      <alignment wrapText="1"/>
    </xf>
    <xf numFmtId="166" fontId="31" fillId="2" borderId="1" xfId="0" applyNumberFormat="1" applyFont="1" applyFill="1" applyBorder="1"/>
    <xf numFmtId="44" fontId="9" fillId="2" borderId="13" xfId="3" applyFont="1" applyFill="1" applyBorder="1"/>
    <xf numFmtId="179" fontId="39" fillId="0" borderId="0" xfId="0" applyNumberFormat="1" applyFont="1" applyAlignment="1">
      <alignment horizontal="right" vertical="top"/>
    </xf>
    <xf numFmtId="166" fontId="37" fillId="2" borderId="26" xfId="0" applyNumberFormat="1" applyFont="1" applyFill="1" applyBorder="1"/>
    <xf numFmtId="41" fontId="36" fillId="2" borderId="26" xfId="0" applyNumberFormat="1" applyFont="1" applyFill="1" applyBorder="1"/>
    <xf numFmtId="177" fontId="36" fillId="2" borderId="26" xfId="0" applyNumberFormat="1" applyFont="1" applyFill="1" applyBorder="1"/>
    <xf numFmtId="44" fontId="5" fillId="2" borderId="26" xfId="0" applyNumberFormat="1" applyFont="1" applyFill="1" applyBorder="1"/>
    <xf numFmtId="44" fontId="1" fillId="2" borderId="26" xfId="0" applyNumberFormat="1" applyFont="1" applyFill="1" applyBorder="1" applyAlignment="1">
      <alignment horizontal="center"/>
    </xf>
    <xf numFmtId="42" fontId="5" fillId="2" borderId="26" xfId="0" applyNumberFormat="1" applyFont="1" applyFill="1" applyBorder="1"/>
    <xf numFmtId="177" fontId="5" fillId="2" borderId="26" xfId="0" applyNumberFormat="1" applyFont="1" applyFill="1" applyBorder="1"/>
    <xf numFmtId="170" fontId="5" fillId="2" borderId="26" xfId="0" applyNumberFormat="1" applyFont="1" applyFill="1" applyBorder="1"/>
    <xf numFmtId="175" fontId="37" fillId="2" borderId="12" xfId="2" applyNumberFormat="1" applyFont="1" applyFill="1" applyBorder="1"/>
    <xf numFmtId="10" fontId="37" fillId="2" borderId="12" xfId="0" applyNumberFormat="1" applyFont="1" applyFill="1" applyBorder="1"/>
    <xf numFmtId="0" fontId="32" fillId="2" borderId="26" xfId="0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9" fillId="0" borderId="0" xfId="0" applyFont="1"/>
    <xf numFmtId="2" fontId="17" fillId="0" borderId="0" xfId="4" applyNumberFormat="1" applyFont="1"/>
    <xf numFmtId="166" fontId="1" fillId="7" borderId="0" xfId="2" applyNumberFormat="1" applyFont="1" applyFill="1"/>
    <xf numFmtId="166" fontId="9" fillId="0" borderId="0" xfId="2" applyNumberFormat="1" applyFont="1" applyFill="1"/>
    <xf numFmtId="166" fontId="11" fillId="7" borderId="0" xfId="2" applyNumberFormat="1" applyFont="1" applyFill="1"/>
    <xf numFmtId="165" fontId="1" fillId="0" borderId="0" xfId="0" applyNumberFormat="1" applyFont="1"/>
    <xf numFmtId="164" fontId="1" fillId="0" borderId="0" xfId="1" applyNumberFormat="1" applyFont="1" applyFill="1"/>
    <xf numFmtId="44" fontId="1" fillId="0" borderId="0" xfId="0" applyNumberFormat="1" applyFont="1" applyAlignment="1">
      <alignment horizontal="center"/>
    </xf>
    <xf numFmtId="167" fontId="1" fillId="0" borderId="0" xfId="3" applyNumberFormat="1" applyFont="1" applyFill="1"/>
    <xf numFmtId="0" fontId="0" fillId="0" borderId="12" xfId="0" applyBorder="1"/>
    <xf numFmtId="39" fontId="39" fillId="0" borderId="0" xfId="0" applyNumberFormat="1" applyFont="1" applyAlignment="1">
      <alignment horizontal="right" vertical="top"/>
    </xf>
    <xf numFmtId="15" fontId="38" fillId="0" borderId="0" xfId="0" quotePrefix="1" applyNumberFormat="1" applyFont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39" fillId="0" borderId="0" xfId="0" applyFont="1" applyAlignment="1">
      <alignment vertical="top" wrapText="1"/>
    </xf>
    <xf numFmtId="0" fontId="7" fillId="0" borderId="0" xfId="4"/>
    <xf numFmtId="166" fontId="39" fillId="0" borderId="0" xfId="0" applyNumberFormat="1" applyFont="1" applyAlignment="1">
      <alignment vertical="top" wrapText="1"/>
    </xf>
    <xf numFmtId="0" fontId="46" fillId="0" borderId="0" xfId="4" applyFont="1" applyAlignment="1">
      <alignment horizontal="left" vertical="top" wrapText="1"/>
    </xf>
    <xf numFmtId="14" fontId="46" fillId="0" borderId="0" xfId="4" applyNumberFormat="1" applyFont="1" applyAlignment="1">
      <alignment horizontal="left" vertical="top" wrapText="1"/>
    </xf>
    <xf numFmtId="0" fontId="18" fillId="0" borderId="0" xfId="4" applyFont="1" applyAlignment="1">
      <alignment horizontal="center" wrapText="1"/>
    </xf>
    <xf numFmtId="0" fontId="17" fillId="0" borderId="17" xfId="4" applyFont="1" applyBorder="1" applyAlignment="1">
      <alignment wrapText="1"/>
    </xf>
    <xf numFmtId="0" fontId="20" fillId="0" borderId="10" xfId="4" quotePrefix="1" applyFont="1" applyBorder="1" applyAlignment="1">
      <alignment horizontal="center"/>
    </xf>
    <xf numFmtId="0" fontId="20" fillId="0" borderId="8" xfId="4" quotePrefix="1" applyFont="1" applyBorder="1" applyAlignment="1">
      <alignment horizontal="center"/>
    </xf>
    <xf numFmtId="0" fontId="17" fillId="0" borderId="7" xfId="4" quotePrefix="1" applyFont="1" applyBorder="1" applyAlignment="1">
      <alignment horizontal="center"/>
    </xf>
    <xf numFmtId="0" fontId="17" fillId="0" borderId="5" xfId="4" quotePrefix="1" applyFont="1" applyBorder="1" applyAlignment="1">
      <alignment horizontal="center"/>
    </xf>
    <xf numFmtId="0" fontId="18" fillId="0" borderId="10" xfId="4" applyFont="1" applyBorder="1" applyAlignment="1">
      <alignment wrapText="1"/>
    </xf>
    <xf numFmtId="0" fontId="19" fillId="6" borderId="27" xfId="4" applyFont="1" applyFill="1" applyBorder="1"/>
    <xf numFmtId="0" fontId="18" fillId="0" borderId="5" xfId="4" applyFont="1" applyBorder="1"/>
    <xf numFmtId="0" fontId="19" fillId="6" borderId="28" xfId="4" applyFont="1" applyFill="1" applyBorder="1"/>
    <xf numFmtId="0" fontId="18" fillId="0" borderId="10" xfId="4" applyFont="1" applyBorder="1"/>
    <xf numFmtId="0" fontId="18" fillId="0" borderId="7" xfId="4" applyFont="1" applyBorder="1"/>
    <xf numFmtId="0" fontId="18" fillId="0" borderId="6" xfId="4" applyFont="1" applyBorder="1"/>
    <xf numFmtId="0" fontId="46" fillId="0" borderId="29" xfId="4" applyFont="1" applyBorder="1" applyAlignment="1">
      <alignment horizontal="left" vertical="top" wrapText="1"/>
    </xf>
    <xf numFmtId="0" fontId="46" fillId="0" borderId="30" xfId="4" applyFont="1" applyBorder="1" applyAlignment="1">
      <alignment horizontal="left" vertical="top" wrapText="1"/>
    </xf>
    <xf numFmtId="0" fontId="46" fillId="0" borderId="31" xfId="4" applyFont="1" applyBorder="1" applyAlignment="1">
      <alignment horizontal="left" vertical="top" wrapText="1"/>
    </xf>
    <xf numFmtId="0" fontId="46" fillId="0" borderId="32" xfId="4" applyFont="1" applyBorder="1" applyAlignment="1">
      <alignment horizontal="left" vertical="top" wrapText="1"/>
    </xf>
    <xf numFmtId="44" fontId="45" fillId="7" borderId="34" xfId="3" applyFont="1" applyFill="1" applyBorder="1" applyAlignment="1">
      <alignment horizontal="left" vertical="top" wrapText="1"/>
    </xf>
    <xf numFmtId="166" fontId="1" fillId="7" borderId="0" xfId="2" applyNumberFormat="1" applyFont="1" applyFill="1" applyBorder="1"/>
    <xf numFmtId="166" fontId="1" fillId="7" borderId="1" xfId="2" applyNumberFormat="1" applyFont="1" applyFill="1" applyBorder="1"/>
    <xf numFmtId="0" fontId="9" fillId="8" borderId="0" xfId="0" applyFont="1" applyFill="1"/>
    <xf numFmtId="166" fontId="9" fillId="2" borderId="17" xfId="2" applyNumberFormat="1" applyFont="1" applyFill="1" applyBorder="1" applyAlignment="1">
      <alignment horizontal="right"/>
    </xf>
    <xf numFmtId="0" fontId="1" fillId="0" borderId="0" xfId="0" applyFont="1"/>
    <xf numFmtId="164" fontId="1" fillId="0" borderId="0" xfId="1" applyNumberFormat="1" applyFont="1"/>
    <xf numFmtId="0" fontId="9" fillId="0" borderId="0" xfId="0" applyFont="1" applyAlignment="1">
      <alignment horizontal="center"/>
    </xf>
    <xf numFmtId="174" fontId="0" fillId="0" borderId="0" xfId="0" applyNumberFormat="1"/>
    <xf numFmtId="0" fontId="43" fillId="0" borderId="0" xfId="0" applyFont="1"/>
    <xf numFmtId="174" fontId="49" fillId="0" borderId="33" xfId="0" applyNumberFormat="1" applyFont="1" applyBorder="1" applyAlignment="1">
      <alignment horizontal="left" vertical="top" wrapText="1"/>
    </xf>
    <xf numFmtId="0" fontId="17" fillId="0" borderId="21" xfId="4" applyFont="1" applyBorder="1"/>
    <xf numFmtId="164" fontId="9" fillId="0" borderId="0" xfId="1" applyNumberFormat="1" applyFont="1"/>
    <xf numFmtId="0" fontId="51" fillId="9" borderId="0" xfId="0" applyFont="1" applyFill="1" applyAlignment="1">
      <alignment horizontal="center" wrapText="1"/>
    </xf>
    <xf numFmtId="0" fontId="8" fillId="4" borderId="0" xfId="4" applyFont="1" applyFill="1" applyAlignment="1">
      <alignment horizontal="center" wrapText="1"/>
    </xf>
    <xf numFmtId="14" fontId="0" fillId="0" borderId="0" xfId="0" applyNumberFormat="1"/>
    <xf numFmtId="14" fontId="52" fillId="0" borderId="0" xfId="4" applyNumberFormat="1" applyFont="1"/>
    <xf numFmtId="14" fontId="48" fillId="2" borderId="12" xfId="4" applyNumberFormat="1" applyFont="1" applyFill="1" applyBorder="1"/>
    <xf numFmtId="0" fontId="51" fillId="10" borderId="0" xfId="0" applyFont="1" applyFill="1"/>
    <xf numFmtId="169" fontId="0" fillId="0" borderId="0" xfId="0" applyNumberFormat="1"/>
    <xf numFmtId="169" fontId="1" fillId="7" borderId="0" xfId="0" applyNumberFormat="1" applyFont="1" applyFill="1"/>
    <xf numFmtId="169" fontId="17" fillId="0" borderId="0" xfId="4" applyNumberFormat="1" applyFont="1"/>
    <xf numFmtId="180" fontId="18" fillId="2" borderId="6" xfId="4" applyNumberFormat="1" applyFont="1" applyFill="1" applyBorder="1" applyAlignment="1">
      <alignment horizontal="center"/>
    </xf>
    <xf numFmtId="166" fontId="1" fillId="0" borderId="0" xfId="2" applyNumberFormat="1" applyFont="1"/>
    <xf numFmtId="8" fontId="1" fillId="0" borderId="0" xfId="0" applyNumberFormat="1" applyFont="1"/>
    <xf numFmtId="167" fontId="1" fillId="7" borderId="0" xfId="2" applyNumberFormat="1" applyFont="1" applyFill="1"/>
    <xf numFmtId="166" fontId="1" fillId="7" borderId="2" xfId="2" applyNumberFormat="1" applyFont="1" applyFill="1" applyBorder="1"/>
    <xf numFmtId="42" fontId="1" fillId="7" borderId="13" xfId="2" applyNumberFormat="1" applyFont="1" applyFill="1" applyBorder="1"/>
    <xf numFmtId="42" fontId="1" fillId="0" borderId="0" xfId="2" applyNumberFormat="1" applyFont="1"/>
    <xf numFmtId="168" fontId="1" fillId="0" borderId="0" xfId="2" applyNumberFormat="1" applyFont="1"/>
    <xf numFmtId="167" fontId="1" fillId="7" borderId="0" xfId="3" applyNumberFormat="1" applyFont="1" applyFill="1"/>
    <xf numFmtId="41" fontId="1" fillId="7" borderId="0" xfId="0" applyNumberFormat="1" applyFont="1" applyFill="1"/>
    <xf numFmtId="41" fontId="1" fillId="0" borderId="1" xfId="0" applyNumberFormat="1" applyFont="1" applyBorder="1"/>
    <xf numFmtId="167" fontId="1" fillId="2" borderId="0" xfId="3" applyNumberFormat="1" applyFont="1" applyFill="1"/>
    <xf numFmtId="166" fontId="1" fillId="2" borderId="2" xfId="0" applyNumberFormat="1" applyFont="1" applyFill="1" applyBorder="1"/>
    <xf numFmtId="166" fontId="54" fillId="7" borderId="0" xfId="2" applyNumberFormat="1" applyFont="1" applyFill="1"/>
    <xf numFmtId="166" fontId="54" fillId="7" borderId="0" xfId="2" applyNumberFormat="1" applyFont="1" applyFill="1" applyBorder="1"/>
    <xf numFmtId="166" fontId="54" fillId="7" borderId="1" xfId="2" applyNumberFormat="1" applyFont="1" applyFill="1" applyBorder="1"/>
    <xf numFmtId="0" fontId="43" fillId="5" borderId="0" xfId="0" applyFont="1" applyFill="1"/>
    <xf numFmtId="0" fontId="0" fillId="5" borderId="0" xfId="0" applyFill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0" fillId="5" borderId="19" xfId="0" applyFill="1" applyBorder="1"/>
    <xf numFmtId="0" fontId="43" fillId="5" borderId="17" xfId="0" applyFont="1" applyFill="1" applyBorder="1"/>
    <xf numFmtId="0" fontId="43" fillId="5" borderId="18" xfId="0" applyFont="1" applyFill="1" applyBorder="1"/>
    <xf numFmtId="0" fontId="43" fillId="3" borderId="17" xfId="0" applyFont="1" applyFill="1" applyBorder="1" applyAlignment="1">
      <alignment horizontal="center"/>
    </xf>
    <xf numFmtId="0" fontId="43" fillId="3" borderId="18" xfId="0" applyFont="1" applyFill="1" applyBorder="1" applyAlignment="1">
      <alignment horizontal="center"/>
    </xf>
    <xf numFmtId="0" fontId="43" fillId="3" borderId="19" xfId="0" applyFont="1" applyFill="1" applyBorder="1" applyAlignment="1">
      <alignment horizontal="center"/>
    </xf>
    <xf numFmtId="0" fontId="0" fillId="12" borderId="0" xfId="0" applyFill="1"/>
    <xf numFmtId="0" fontId="9" fillId="5" borderId="17" xfId="0" applyFont="1" applyFill="1" applyBorder="1"/>
    <xf numFmtId="0" fontId="9" fillId="5" borderId="10" xfId="0" applyFont="1" applyFill="1" applyBorder="1"/>
    <xf numFmtId="0" fontId="9" fillId="5" borderId="9" xfId="0" applyFont="1" applyFill="1" applyBorder="1"/>
    <xf numFmtId="0" fontId="9" fillId="5" borderId="8" xfId="0" applyFont="1" applyFill="1" applyBorder="1"/>
    <xf numFmtId="0" fontId="9" fillId="5" borderId="5" xfId="0" applyFont="1" applyFill="1" applyBorder="1"/>
    <xf numFmtId="0" fontId="9" fillId="5" borderId="4" xfId="0" applyFont="1" applyFill="1" applyBorder="1"/>
    <xf numFmtId="0" fontId="9" fillId="5" borderId="3" xfId="0" applyFont="1" applyFill="1" applyBorder="1"/>
    <xf numFmtId="0" fontId="39" fillId="0" borderId="1" xfId="0" applyFont="1" applyBorder="1" applyAlignment="1">
      <alignment vertical="top" wrapText="1"/>
    </xf>
    <xf numFmtId="178" fontId="0" fillId="0" borderId="0" xfId="0" applyNumberFormat="1"/>
    <xf numFmtId="37" fontId="31" fillId="13" borderId="0" xfId="0" applyNumberFormat="1" applyFont="1" applyFill="1"/>
    <xf numFmtId="0" fontId="56" fillId="0" borderId="0" xfId="0" applyFont="1"/>
    <xf numFmtId="164" fontId="56" fillId="7" borderId="0" xfId="1" applyNumberFormat="1" applyFont="1" applyFill="1"/>
    <xf numFmtId="37" fontId="0" fillId="0" borderId="0" xfId="0" applyNumberFormat="1"/>
    <xf numFmtId="43" fontId="1" fillId="11" borderId="0" xfId="0" applyNumberFormat="1" applyFont="1" applyFill="1"/>
    <xf numFmtId="2" fontId="1" fillId="7" borderId="0" xfId="2" applyNumberFormat="1" applyFont="1" applyFill="1"/>
    <xf numFmtId="2" fontId="14" fillId="11" borderId="0" xfId="0" applyNumberFormat="1" applyFont="1" applyFill="1"/>
    <xf numFmtId="2" fontId="1" fillId="0" borderId="0" xfId="2" applyNumberFormat="1" applyFont="1"/>
    <xf numFmtId="166" fontId="44" fillId="0" borderId="0" xfId="0" applyNumberFormat="1" applyFont="1" applyAlignment="1">
      <alignment vertical="top" wrapText="1"/>
    </xf>
    <xf numFmtId="0" fontId="35" fillId="0" borderId="0" xfId="6"/>
    <xf numFmtId="2" fontId="40" fillId="2" borderId="0" xfId="0" applyNumberFormat="1" applyFont="1" applyFill="1" applyAlignment="1">
      <alignment vertical="center" wrapText="1"/>
    </xf>
    <xf numFmtId="0" fontId="35" fillId="0" borderId="10" xfId="6" applyBorder="1"/>
    <xf numFmtId="0" fontId="35" fillId="0" borderId="9" xfId="6" applyBorder="1"/>
    <xf numFmtId="0" fontId="0" fillId="0" borderId="18" xfId="0" applyBorder="1"/>
    <xf numFmtId="0" fontId="0" fillId="0" borderId="19" xfId="0" applyBorder="1"/>
    <xf numFmtId="180" fontId="40" fillId="2" borderId="0" xfId="0" applyNumberFormat="1" applyFont="1" applyFill="1" applyAlignment="1">
      <alignment horizontal="left" vertical="center" wrapText="1"/>
    </xf>
    <xf numFmtId="44" fontId="9" fillId="0" borderId="0" xfId="3" applyFont="1" applyBorder="1"/>
    <xf numFmtId="2" fontId="9" fillId="0" borderId="0" xfId="0" applyNumberFormat="1" applyFont="1"/>
    <xf numFmtId="169" fontId="9" fillId="0" borderId="0" xfId="0" applyNumberFormat="1" applyFont="1"/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3" fillId="14" borderId="18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5" fontId="41" fillId="0" borderId="0" xfId="0" applyNumberFormat="1" applyFont="1" applyAlignment="1">
      <alignment horizontal="center" vertical="center" wrapText="1"/>
    </xf>
    <xf numFmtId="2" fontId="9" fillId="0" borderId="10" xfId="0" applyNumberFormat="1" applyFont="1" applyBorder="1" applyAlignment="1">
      <alignment horizontal="left" wrapText="1"/>
    </xf>
    <xf numFmtId="0" fontId="0" fillId="0" borderId="9" xfId="0" applyBorder="1"/>
    <xf numFmtId="0" fontId="13" fillId="0" borderId="9" xfId="0" applyFont="1" applyBorder="1"/>
    <xf numFmtId="0" fontId="40" fillId="2" borderId="9" xfId="0" applyFont="1" applyFill="1" applyBorder="1" applyAlignment="1">
      <alignment vertical="center" wrapText="1"/>
    </xf>
    <xf numFmtId="0" fontId="9" fillId="2" borderId="9" xfId="0" applyFont="1" applyFill="1" applyBorder="1"/>
    <xf numFmtId="0" fontId="40" fillId="2" borderId="8" xfId="0" applyFont="1" applyFill="1" applyBorder="1" applyAlignment="1">
      <alignment wrapText="1"/>
    </xf>
    <xf numFmtId="2" fontId="9" fillId="0" borderId="7" xfId="0" applyNumberFormat="1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40" fillId="2" borderId="0" xfId="0" applyFont="1" applyFill="1" applyAlignment="1">
      <alignment vertical="center" wrapText="1"/>
    </xf>
    <xf numFmtId="0" fontId="9" fillId="2" borderId="0" xfId="0" applyFont="1" applyFill="1"/>
    <xf numFmtId="0" fontId="40" fillId="2" borderId="6" xfId="0" applyFont="1" applyFill="1" applyBorder="1" applyAlignment="1">
      <alignment wrapText="1"/>
    </xf>
    <xf numFmtId="2" fontId="9" fillId="0" borderId="5" xfId="0" applyNumberFormat="1" applyFont="1" applyBorder="1" applyAlignment="1">
      <alignment horizontal="left" wrapText="1"/>
    </xf>
    <xf numFmtId="0" fontId="0" fillId="0" borderId="4" xfId="0" applyBorder="1"/>
    <xf numFmtId="2" fontId="9" fillId="0" borderId="17" xfId="0" applyNumberFormat="1" applyFont="1" applyBorder="1"/>
    <xf numFmtId="0" fontId="1" fillId="3" borderId="18" xfId="0" applyFont="1" applyFill="1" applyBorder="1"/>
    <xf numFmtId="2" fontId="9" fillId="0" borderId="18" xfId="2" applyNumberFormat="1" applyFont="1" applyBorder="1" applyAlignment="1">
      <alignment horizontal="center"/>
    </xf>
    <xf numFmtId="2" fontId="9" fillId="0" borderId="18" xfId="2" applyNumberFormat="1" applyFont="1" applyBorder="1" applyAlignment="1">
      <alignment horizontal="right"/>
    </xf>
    <xf numFmtId="2" fontId="9" fillId="0" borderId="19" xfId="2" applyNumberFormat="1" applyFont="1" applyBorder="1" applyAlignment="1">
      <alignment horizontal="right"/>
    </xf>
    <xf numFmtId="3" fontId="59" fillId="14" borderId="18" xfId="0" applyNumberFormat="1" applyFont="1" applyFill="1" applyBorder="1" applyAlignment="1">
      <alignment horizontal="right" wrapText="1" indent="1"/>
    </xf>
    <xf numFmtId="3" fontId="57" fillId="14" borderId="18" xfId="0" applyNumberFormat="1" applyFont="1" applyFill="1" applyBorder="1" applyAlignment="1">
      <alignment vertical="center" wrapText="1"/>
    </xf>
    <xf numFmtId="0" fontId="60" fillId="14" borderId="18" xfId="0" applyFont="1" applyFill="1" applyBorder="1" applyAlignment="1">
      <alignment horizontal="left" wrapText="1"/>
    </xf>
    <xf numFmtId="167" fontId="59" fillId="14" borderId="18" xfId="3" applyNumberFormat="1" applyFont="1" applyFill="1" applyBorder="1" applyAlignment="1">
      <alignment horizontal="right" wrapText="1" indent="1"/>
    </xf>
    <xf numFmtId="44" fontId="9" fillId="0" borderId="18" xfId="3" applyFont="1" applyBorder="1" applyAlignment="1"/>
    <xf numFmtId="175" fontId="64" fillId="2" borderId="12" xfId="2" applyNumberFormat="1" applyFont="1" applyFill="1" applyBorder="1"/>
    <xf numFmtId="182" fontId="5" fillId="2" borderId="26" xfId="0" applyNumberFormat="1" applyFont="1" applyFill="1" applyBorder="1"/>
    <xf numFmtId="43" fontId="9" fillId="0" borderId="0" xfId="2" applyFont="1" applyBorder="1"/>
    <xf numFmtId="0" fontId="9" fillId="0" borderId="17" xfId="0" applyFont="1" applyBorder="1"/>
    <xf numFmtId="44" fontId="0" fillId="0" borderId="18" xfId="3" applyFont="1" applyBorder="1"/>
    <xf numFmtId="2" fontId="0" fillId="0" borderId="18" xfId="3" applyNumberFormat="1" applyFont="1" applyBorder="1"/>
    <xf numFmtId="169" fontId="0" fillId="0" borderId="18" xfId="3" applyNumberFormat="1" applyFont="1" applyBorder="1"/>
    <xf numFmtId="166" fontId="1" fillId="7" borderId="1" xfId="0" applyNumberFormat="1" applyFont="1" applyFill="1" applyBorder="1" applyAlignment="1">
      <alignment horizontal="center"/>
    </xf>
    <xf numFmtId="166" fontId="1" fillId="7" borderId="0" xfId="0" applyNumberFormat="1" applyFont="1" applyFill="1"/>
    <xf numFmtId="175" fontId="14" fillId="11" borderId="0" xfId="2" applyNumberFormat="1" applyFont="1" applyFill="1"/>
    <xf numFmtId="2" fontId="1" fillId="11" borderId="0" xfId="0" applyNumberFormat="1" applyFont="1" applyFill="1"/>
    <xf numFmtId="41" fontId="11" fillId="7" borderId="0" xfId="0" applyNumberFormat="1" applyFont="1" applyFill="1"/>
    <xf numFmtId="183" fontId="1" fillId="2" borderId="0" xfId="0" applyNumberFormat="1" applyFont="1" applyFill="1"/>
    <xf numFmtId="183" fontId="1" fillId="0" borderId="0" xfId="0" applyNumberFormat="1" applyFont="1"/>
    <xf numFmtId="166" fontId="1" fillId="2" borderId="0" xfId="2" applyNumberFormat="1" applyFont="1" applyFill="1"/>
    <xf numFmtId="166" fontId="1" fillId="2" borderId="1" xfId="2" applyNumberFormat="1" applyFont="1" applyFill="1" applyBorder="1"/>
    <xf numFmtId="0" fontId="1" fillId="5" borderId="0" xfId="0" applyFont="1" applyFill="1"/>
    <xf numFmtId="10" fontId="66" fillId="6" borderId="26" xfId="0" applyNumberFormat="1" applyFont="1" applyFill="1" applyBorder="1"/>
    <xf numFmtId="167" fontId="54" fillId="7" borderId="0" xfId="3" applyNumberFormat="1" applyFont="1" applyFill="1"/>
    <xf numFmtId="44" fontId="35" fillId="0" borderId="0" xfId="6" applyNumberFormat="1"/>
    <xf numFmtId="172" fontId="35" fillId="0" borderId="0" xfId="1" applyNumberFormat="1" applyFont="1"/>
    <xf numFmtId="172" fontId="0" fillId="0" borderId="0" xfId="0" applyNumberFormat="1"/>
    <xf numFmtId="0" fontId="9" fillId="0" borderId="1" xfId="0" applyFont="1" applyBorder="1" applyAlignment="1">
      <alignment horizontal="center"/>
    </xf>
    <xf numFmtId="167" fontId="1" fillId="5" borderId="12" xfId="3" applyNumberFormat="1" applyFont="1" applyFill="1" applyBorder="1"/>
    <xf numFmtId="166" fontId="1" fillId="5" borderId="0" xfId="2" applyNumberFormat="1" applyFont="1" applyFill="1"/>
    <xf numFmtId="166" fontId="9" fillId="5" borderId="10" xfId="0" applyNumberFormat="1" applyFont="1" applyFill="1" applyBorder="1"/>
    <xf numFmtId="166" fontId="9" fillId="5" borderId="5" xfId="0" applyNumberFormat="1" applyFont="1" applyFill="1" applyBorder="1"/>
    <xf numFmtId="0" fontId="6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" fillId="0" borderId="1" xfId="0" applyFont="1" applyBorder="1"/>
    <xf numFmtId="0" fontId="1" fillId="0" borderId="2" xfId="0" applyFont="1" applyBorder="1"/>
    <xf numFmtId="0" fontId="1" fillId="5" borderId="19" xfId="0" applyFont="1" applyFill="1" applyBorder="1"/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top"/>
    </xf>
    <xf numFmtId="170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4" xfId="0" applyFont="1" applyBorder="1" applyAlignment="1">
      <alignment horizontal="left" indent="2"/>
    </xf>
    <xf numFmtId="170" fontId="1" fillId="0" borderId="4" xfId="0" applyNumberFormat="1" applyFont="1" applyBorder="1"/>
    <xf numFmtId="0" fontId="1" fillId="3" borderId="9" xfId="0" applyFont="1" applyFill="1" applyBorder="1"/>
    <xf numFmtId="0" fontId="1" fillId="0" borderId="11" xfId="0" applyFont="1" applyBorder="1"/>
    <xf numFmtId="0" fontId="1" fillId="0" borderId="21" xfId="0" applyFont="1" applyBorder="1"/>
    <xf numFmtId="184" fontId="22" fillId="0" borderId="12" xfId="0" applyNumberFormat="1" applyFont="1" applyBorder="1"/>
    <xf numFmtId="166" fontId="44" fillId="15" borderId="0" xfId="0" applyNumberFormat="1" applyFont="1" applyFill="1" applyAlignment="1">
      <alignment vertical="top" wrapText="1"/>
    </xf>
    <xf numFmtId="15" fontId="38" fillId="15" borderId="0" xfId="0" applyNumberFormat="1" applyFont="1" applyFill="1" applyAlignment="1">
      <alignment horizontal="center" vertical="center" wrapText="1"/>
    </xf>
    <xf numFmtId="166" fontId="44" fillId="16" borderId="0" xfId="0" applyNumberFormat="1" applyFont="1" applyFill="1" applyAlignment="1">
      <alignment vertical="top" wrapText="1"/>
    </xf>
    <xf numFmtId="15" fontId="38" fillId="16" borderId="0" xfId="0" applyNumberFormat="1" applyFont="1" applyFill="1" applyAlignment="1">
      <alignment horizontal="center" vertical="center" wrapText="1"/>
    </xf>
    <xf numFmtId="166" fontId="1" fillId="0" borderId="0" xfId="2" applyNumberFormat="1" applyFont="1" applyAlignment="1">
      <alignment wrapText="1"/>
    </xf>
    <xf numFmtId="0" fontId="35" fillId="0" borderId="0" xfId="0" applyFont="1"/>
    <xf numFmtId="0" fontId="68" fillId="0" borderId="0" xfId="0" applyFont="1"/>
    <xf numFmtId="0" fontId="50" fillId="0" borderId="1" xfId="0" applyFont="1" applyBorder="1" applyAlignment="1">
      <alignment horizontal="centerContinuous"/>
    </xf>
    <xf numFmtId="0" fontId="35" fillId="0" borderId="1" xfId="0" applyFont="1" applyBorder="1" applyAlignment="1">
      <alignment horizontal="centerContinuous"/>
    </xf>
    <xf numFmtId="0" fontId="35" fillId="0" borderId="0" xfId="0" applyFont="1" applyAlignment="1">
      <alignment horizontal="centerContinuous"/>
    </xf>
    <xf numFmtId="0" fontId="35" fillId="0" borderId="0" xfId="0" applyFont="1" applyAlignment="1">
      <alignment wrapText="1"/>
    </xf>
    <xf numFmtId="166" fontId="50" fillId="7" borderId="0" xfId="2" applyNumberFormat="1" applyFont="1" applyFill="1" applyBorder="1"/>
    <xf numFmtId="0" fontId="35" fillId="5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center" indent="5" readingOrder="1"/>
    </xf>
    <xf numFmtId="166" fontId="35" fillId="7" borderId="0" xfId="2" applyNumberFormat="1" applyFont="1" applyFill="1" applyBorder="1"/>
    <xf numFmtId="185" fontId="5" fillId="0" borderId="0" xfId="0" applyNumberFormat="1" applyFont="1"/>
    <xf numFmtId="178" fontId="70" fillId="0" borderId="0" xfId="0" applyNumberFormat="1" applyFont="1" applyAlignment="1">
      <alignment horizontal="right" vertical="top"/>
    </xf>
    <xf numFmtId="37" fontId="70" fillId="0" borderId="0" xfId="0" applyNumberFormat="1" applyFont="1" applyAlignment="1">
      <alignment horizontal="right" vertical="top"/>
    </xf>
    <xf numFmtId="0" fontId="71" fillId="0" borderId="0" xfId="0" applyFont="1"/>
    <xf numFmtId="0" fontId="70" fillId="0" borderId="0" xfId="0" applyFont="1" applyAlignment="1">
      <alignment vertical="top" wrapText="1"/>
    </xf>
    <xf numFmtId="179" fontId="70" fillId="0" borderId="0" xfId="0" applyNumberFormat="1" applyFont="1" applyAlignment="1">
      <alignment horizontal="right" vertical="top"/>
    </xf>
    <xf numFmtId="0" fontId="36" fillId="0" borderId="0" xfId="0" applyFont="1"/>
    <xf numFmtId="2" fontId="1" fillId="3" borderId="0" xfId="1" applyNumberFormat="1" applyFont="1" applyFill="1"/>
    <xf numFmtId="186" fontId="1" fillId="11" borderId="0" xfId="0" applyNumberFormat="1" applyFont="1" applyFill="1"/>
    <xf numFmtId="0" fontId="72" fillId="0" borderId="0" xfId="0" applyFont="1"/>
    <xf numFmtId="0" fontId="73" fillId="0" borderId="0" xfId="6" applyFont="1"/>
    <xf numFmtId="0" fontId="74" fillId="0" borderId="0" xfId="0" applyFont="1"/>
    <xf numFmtId="0" fontId="75" fillId="0" borderId="0" xfId="0" applyFont="1"/>
    <xf numFmtId="44" fontId="9" fillId="0" borderId="0" xfId="0" applyNumberFormat="1" applyFont="1"/>
    <xf numFmtId="2" fontId="18" fillId="0" borderId="0" xfId="4" applyNumberFormat="1" applyFont="1"/>
    <xf numFmtId="0" fontId="13" fillId="0" borderId="2" xfId="0" applyFont="1" applyBorder="1"/>
    <xf numFmtId="0" fontId="41" fillId="0" borderId="4" xfId="0" applyFont="1" applyBorder="1" applyAlignment="1">
      <alignment horizontal="center" vertical="center" wrapText="1"/>
    </xf>
    <xf numFmtId="0" fontId="76" fillId="0" borderId="0" xfId="0" applyFont="1"/>
    <xf numFmtId="0" fontId="39" fillId="0" borderId="0" xfId="0" applyFont="1" applyAlignment="1">
      <alignment horizontal="left" wrapText="1"/>
    </xf>
    <xf numFmtId="164" fontId="9" fillId="7" borderId="0" xfId="1" applyNumberFormat="1" applyFont="1" applyFill="1" applyBorder="1"/>
    <xf numFmtId="0" fontId="35" fillId="0" borderId="0" xfId="0" applyFont="1" applyAlignment="1">
      <alignment horizontal="left" vertical="top" wrapText="1"/>
    </xf>
    <xf numFmtId="166" fontId="77" fillId="7" borderId="0" xfId="2" applyNumberFormat="1" applyFont="1" applyFill="1" applyBorder="1"/>
    <xf numFmtId="0" fontId="35" fillId="0" borderId="0" xfId="0" applyFont="1" applyAlignment="1">
      <alignment horizontal="center" vertical="center" wrapText="1"/>
    </xf>
    <xf numFmtId="169" fontId="13" fillId="11" borderId="0" xfId="0" applyNumberFormat="1" applyFont="1" applyFill="1"/>
    <xf numFmtId="187" fontId="5" fillId="2" borderId="26" xfId="0" applyNumberFormat="1" applyFont="1" applyFill="1" applyBorder="1"/>
    <xf numFmtId="0" fontId="4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1" fillId="15" borderId="0" xfId="0" applyNumberFormat="1" applyFont="1" applyFill="1" applyAlignment="1">
      <alignment vertical="top"/>
    </xf>
    <xf numFmtId="166" fontId="1" fillId="0" borderId="0" xfId="0" applyNumberFormat="1" applyFont="1" applyAlignment="1">
      <alignment vertical="top"/>
    </xf>
    <xf numFmtId="166" fontId="1" fillId="16" borderId="0" xfId="0" applyNumberFormat="1" applyFont="1" applyFill="1" applyAlignment="1">
      <alignment vertical="top"/>
    </xf>
    <xf numFmtId="178" fontId="78" fillId="0" borderId="0" xfId="0" applyNumberFormat="1" applyFont="1" applyAlignment="1">
      <alignment horizontal="right" vertical="top"/>
    </xf>
    <xf numFmtId="37" fontId="78" fillId="0" borderId="0" xfId="0" applyNumberFormat="1" applyFont="1" applyAlignment="1">
      <alignment horizontal="right" vertical="top"/>
    </xf>
    <xf numFmtId="179" fontId="78" fillId="0" borderId="0" xfId="0" applyNumberFormat="1" applyFont="1" applyAlignment="1">
      <alignment horizontal="right" vertical="top"/>
    </xf>
    <xf numFmtId="0" fontId="78" fillId="0" borderId="0" xfId="0" applyFont="1" applyAlignment="1">
      <alignment vertical="top" wrapText="1"/>
    </xf>
    <xf numFmtId="181" fontId="39" fillId="0" borderId="0" xfId="0" applyNumberFormat="1" applyFont="1" applyAlignment="1">
      <alignment horizontal="right" vertical="top"/>
    </xf>
    <xf numFmtId="0" fontId="35" fillId="0" borderId="7" xfId="6" applyBorder="1"/>
    <xf numFmtId="10" fontId="59" fillId="0" borderId="0" xfId="0" applyNumberFormat="1" applyFont="1" applyAlignment="1">
      <alignment horizontal="right" wrapText="1"/>
    </xf>
    <xf numFmtId="3" fontId="63" fillId="0" borderId="0" xfId="0" applyNumberFormat="1" applyFont="1" applyAlignment="1">
      <alignment horizontal="right" wrapText="1" indent="1"/>
    </xf>
    <xf numFmtId="169" fontId="1" fillId="0" borderId="0" xfId="0" applyNumberFormat="1" applyFont="1"/>
    <xf numFmtId="3" fontId="63" fillId="0" borderId="0" xfId="0" applyNumberFormat="1" applyFont="1" applyAlignment="1">
      <alignment horizontal="right" wrapText="1"/>
    </xf>
    <xf numFmtId="0" fontId="63" fillId="0" borderId="0" xfId="0" applyFont="1" applyAlignment="1">
      <alignment horizontal="right" wrapText="1"/>
    </xf>
    <xf numFmtId="0" fontId="79" fillId="0" borderId="23" xfId="0" applyFont="1" applyBorder="1"/>
    <xf numFmtId="0" fontId="79" fillId="0" borderId="23" xfId="0" applyFont="1" applyBorder="1" applyAlignment="1">
      <alignment vertical="center" wrapText="1"/>
    </xf>
    <xf numFmtId="0" fontId="79" fillId="0" borderId="25" xfId="0" applyFont="1" applyBorder="1"/>
    <xf numFmtId="0" fontId="59" fillId="0" borderId="0" xfId="2" applyNumberFormat="1" applyFont="1" applyFill="1" applyAlignment="1">
      <alignment horizontal="right" wrapText="1"/>
    </xf>
    <xf numFmtId="0" fontId="59" fillId="0" borderId="0" xfId="2" applyNumberFormat="1" applyFont="1" applyFill="1" applyBorder="1" applyAlignment="1">
      <alignment horizontal="right" wrapText="1"/>
    </xf>
    <xf numFmtId="43" fontId="63" fillId="0" borderId="0" xfId="2" applyFont="1" applyFill="1" applyAlignment="1">
      <alignment horizontal="right" wrapText="1"/>
    </xf>
    <xf numFmtId="43" fontId="63" fillId="14" borderId="0" xfId="2" applyFont="1" applyFill="1" applyAlignment="1">
      <alignment horizontal="right" wrapText="1"/>
    </xf>
    <xf numFmtId="8" fontId="0" fillId="0" borderId="0" xfId="1" applyNumberFormat="1" applyFont="1"/>
    <xf numFmtId="169" fontId="0" fillId="0" borderId="0" xfId="1" applyNumberFormat="1" applyFont="1"/>
    <xf numFmtId="188" fontId="0" fillId="0" borderId="0" xfId="0" applyNumberFormat="1"/>
    <xf numFmtId="169" fontId="80" fillId="7" borderId="0" xfId="0" applyNumberFormat="1" applyFont="1" applyFill="1"/>
    <xf numFmtId="0" fontId="80" fillId="0" borderId="4" xfId="0" applyFont="1" applyBorder="1"/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vertical="top" wrapText="1"/>
    </xf>
    <xf numFmtId="178" fontId="81" fillId="0" borderId="0" xfId="0" applyNumberFormat="1" applyFont="1" applyAlignment="1">
      <alignment horizontal="right" vertical="top"/>
    </xf>
    <xf numFmtId="37" fontId="81" fillId="0" borderId="0" xfId="0" applyNumberFormat="1" applyFont="1" applyAlignment="1">
      <alignment horizontal="right" vertical="top"/>
    </xf>
    <xf numFmtId="0" fontId="82" fillId="0" borderId="0" xfId="0" applyFont="1"/>
    <xf numFmtId="1" fontId="54" fillId="7" borderId="1" xfId="2" applyNumberFormat="1" applyFont="1" applyFill="1" applyBorder="1"/>
    <xf numFmtId="164" fontId="80" fillId="7" borderId="0" xfId="1" applyNumberFormat="1" applyFont="1" applyFill="1" applyBorder="1"/>
    <xf numFmtId="10" fontId="66" fillId="6" borderId="26" xfId="1" applyNumberFormat="1" applyFont="1" applyFill="1" applyBorder="1"/>
    <xf numFmtId="0" fontId="34" fillId="0" borderId="22" xfId="0" applyFont="1" applyBorder="1"/>
    <xf numFmtId="44" fontId="5" fillId="0" borderId="16" xfId="0" applyNumberFormat="1" applyFont="1" applyBorder="1"/>
    <xf numFmtId="10" fontId="5" fillId="0" borderId="17" xfId="1" applyNumberFormat="1" applyFont="1" applyBorder="1" applyAlignment="1">
      <alignment horizontal="center"/>
    </xf>
    <xf numFmtId="10" fontId="5" fillId="0" borderId="18" xfId="1" applyNumberFormat="1" applyFont="1" applyBorder="1" applyAlignment="1">
      <alignment horizontal="center"/>
    </xf>
    <xf numFmtId="10" fontId="5" fillId="0" borderId="18" xfId="1" applyNumberFormat="1" applyFont="1" applyFill="1" applyBorder="1" applyAlignment="1">
      <alignment horizontal="center"/>
    </xf>
    <xf numFmtId="10" fontId="5" fillId="0" borderId="19" xfId="1" applyNumberFormat="1" applyFont="1" applyFill="1" applyBorder="1" applyAlignment="1">
      <alignment horizontal="center"/>
    </xf>
    <xf numFmtId="172" fontId="27" fillId="0" borderId="10" xfId="1" applyNumberFormat="1" applyFont="1" applyBorder="1"/>
    <xf numFmtId="44" fontId="27" fillId="0" borderId="9" xfId="3" applyFont="1" applyBorder="1"/>
    <xf numFmtId="0" fontId="27" fillId="0" borderId="9" xfId="0" applyFont="1" applyBorder="1"/>
    <xf numFmtId="0" fontId="1" fillId="0" borderId="9" xfId="0" applyFont="1" applyBorder="1"/>
    <xf numFmtId="172" fontId="27" fillId="0" borderId="7" xfId="1" applyNumberFormat="1" applyFont="1" applyBorder="1"/>
    <xf numFmtId="44" fontId="27" fillId="0" borderId="0" xfId="3" applyFont="1" applyBorder="1"/>
    <xf numFmtId="172" fontId="27" fillId="0" borderId="5" xfId="1" applyNumberFormat="1" applyFont="1" applyBorder="1"/>
    <xf numFmtId="44" fontId="27" fillId="0" borderId="4" xfId="3" applyFont="1" applyBorder="1"/>
    <xf numFmtId="0" fontId="27" fillId="0" borderId="4" xfId="0" applyFont="1" applyBorder="1"/>
    <xf numFmtId="2" fontId="61" fillId="11" borderId="0" xfId="0" applyNumberFormat="1" applyFont="1" applyFill="1"/>
    <xf numFmtId="2" fontId="1" fillId="0" borderId="0" xfId="0" applyNumberFormat="1" applyFont="1"/>
    <xf numFmtId="164" fontId="9" fillId="11" borderId="0" xfId="1" applyNumberFormat="1" applyFont="1" applyFill="1" applyBorder="1"/>
    <xf numFmtId="164" fontId="62" fillId="7" borderId="0" xfId="1" applyNumberFormat="1" applyFont="1" applyFill="1" applyBorder="1"/>
    <xf numFmtId="1" fontId="44" fillId="3" borderId="0" xfId="0" applyNumberFormat="1" applyFont="1" applyFill="1" applyAlignment="1">
      <alignment vertical="center" wrapText="1"/>
    </xf>
    <xf numFmtId="1" fontId="65" fillId="3" borderId="0" xfId="0" applyNumberFormat="1" applyFont="1" applyFill="1" applyAlignment="1">
      <alignment vertical="center" wrapText="1"/>
    </xf>
    <xf numFmtId="0" fontId="34" fillId="3" borderId="0" xfId="0" applyFont="1" applyFill="1" applyAlignment="1">
      <alignment horizontal="left" vertical="top" wrapText="1"/>
    </xf>
    <xf numFmtId="0" fontId="34" fillId="3" borderId="0" xfId="0" applyFont="1" applyFill="1" applyAlignment="1">
      <alignment horizontal="center" vertical="center" wrapText="1"/>
    </xf>
    <xf numFmtId="166" fontId="34" fillId="3" borderId="0" xfId="2" applyNumberFormat="1" applyFont="1" applyFill="1" applyAlignment="1">
      <alignment horizontal="center" vertical="center"/>
    </xf>
    <xf numFmtId="189" fontId="17" fillId="0" borderId="0" xfId="4" applyNumberFormat="1" applyFont="1"/>
    <xf numFmtId="180" fontId="18" fillId="2" borderId="3" xfId="4" applyNumberFormat="1" applyFont="1" applyFill="1" applyBorder="1" applyAlignment="1">
      <alignment horizontal="center"/>
    </xf>
    <xf numFmtId="0" fontId="83" fillId="0" borderId="0" xfId="0" applyFont="1" applyAlignment="1">
      <alignment horizontal="center" vertical="center" wrapText="1"/>
    </xf>
    <xf numFmtId="190" fontId="35" fillId="0" borderId="0" xfId="6" applyNumberFormat="1"/>
    <xf numFmtId="8" fontId="35" fillId="0" borderId="0" xfId="6" applyNumberFormat="1"/>
    <xf numFmtId="2" fontId="51" fillId="10" borderId="0" xfId="0" applyNumberFormat="1" applyFont="1" applyFill="1"/>
    <xf numFmtId="2" fontId="35" fillId="0" borderId="0" xfId="1" applyNumberFormat="1" applyFont="1"/>
    <xf numFmtId="2" fontId="0" fillId="0" borderId="0" xfId="0" applyNumberFormat="1"/>
    <xf numFmtId="191" fontId="1" fillId="0" borderId="0" xfId="0" applyNumberFormat="1" applyFont="1"/>
    <xf numFmtId="192" fontId="1" fillId="0" borderId="0" xfId="0" applyNumberFormat="1" applyFont="1"/>
    <xf numFmtId="166" fontId="54" fillId="11" borderId="0" xfId="2" applyNumberFormat="1" applyFont="1" applyFill="1" applyBorder="1"/>
    <xf numFmtId="166" fontId="9" fillId="5" borderId="0" xfId="0" applyNumberFormat="1" applyFont="1" applyFill="1"/>
    <xf numFmtId="178" fontId="71" fillId="0" borderId="0" xfId="0" applyNumberFormat="1" applyFont="1"/>
    <xf numFmtId="178" fontId="36" fillId="0" borderId="0" xfId="0" applyNumberFormat="1" applyFont="1"/>
    <xf numFmtId="37" fontId="71" fillId="0" borderId="0" xfId="0" applyNumberFormat="1" applyFont="1"/>
    <xf numFmtId="184" fontId="1" fillId="0" borderId="0" xfId="0" applyNumberFormat="1" applyFont="1"/>
    <xf numFmtId="43" fontId="76" fillId="0" borderId="0" xfId="0" applyNumberFormat="1" applyFont="1"/>
    <xf numFmtId="166" fontId="1" fillId="3" borderId="0" xfId="0" applyNumberFormat="1" applyFont="1" applyFill="1" applyAlignment="1">
      <alignment horizontal="left" vertical="top" wrapText="1"/>
    </xf>
    <xf numFmtId="181" fontId="81" fillId="0" borderId="0" xfId="0" applyNumberFormat="1" applyFont="1" applyAlignment="1">
      <alignment horizontal="right" vertical="top"/>
    </xf>
    <xf numFmtId="164" fontId="80" fillId="7" borderId="0" xfId="1" applyNumberFormat="1" applyFont="1" applyFill="1"/>
    <xf numFmtId="43" fontId="5" fillId="2" borderId="26" xfId="0" applyNumberFormat="1" applyFont="1" applyFill="1" applyBorder="1"/>
    <xf numFmtId="44" fontId="5" fillId="17" borderId="26" xfId="0" applyNumberFormat="1" applyFont="1" applyFill="1" applyBorder="1"/>
    <xf numFmtId="166" fontId="14" fillId="11" borderId="0" xfId="2" applyNumberFormat="1" applyFont="1" applyFill="1"/>
    <xf numFmtId="6" fontId="1" fillId="2" borderId="0" xfId="3" applyNumberFormat="1" applyFont="1" applyFill="1"/>
    <xf numFmtId="10" fontId="37" fillId="2" borderId="12" xfId="1" applyNumberFormat="1" applyFont="1" applyFill="1" applyBorder="1"/>
    <xf numFmtId="10" fontId="37" fillId="2" borderId="16" xfId="0" applyNumberFormat="1" applyFont="1" applyFill="1" applyBorder="1"/>
    <xf numFmtId="10" fontId="5" fillId="2" borderId="12" xfId="0" applyNumberFormat="1" applyFont="1" applyFill="1" applyBorder="1"/>
    <xf numFmtId="175" fontId="69" fillId="17" borderId="12" xfId="2" applyNumberFormat="1" applyFont="1" applyFill="1" applyBorder="1"/>
    <xf numFmtId="10" fontId="5" fillId="17" borderId="12" xfId="1" applyNumberFormat="1" applyFont="1" applyFill="1" applyBorder="1"/>
    <xf numFmtId="175" fontId="31" fillId="2" borderId="12" xfId="2" applyNumberFormat="1" applyFont="1" applyFill="1" applyBorder="1"/>
    <xf numFmtId="44" fontId="31" fillId="2" borderId="12" xfId="0" applyNumberFormat="1" applyFont="1" applyFill="1" applyBorder="1"/>
    <xf numFmtId="172" fontId="42" fillId="3" borderId="26" xfId="1" applyNumberFormat="1" applyFont="1" applyFill="1" applyBorder="1"/>
    <xf numFmtId="172" fontId="9" fillId="2" borderId="1" xfId="1" applyNumberFormat="1" applyFont="1" applyFill="1" applyBorder="1"/>
    <xf numFmtId="169" fontId="9" fillId="18" borderId="0" xfId="0" applyNumberFormat="1" applyFont="1" applyFill="1"/>
    <xf numFmtId="14" fontId="18" fillId="2" borderId="12" xfId="4" applyNumberFormat="1" applyFont="1" applyFill="1" applyBorder="1"/>
    <xf numFmtId="166" fontId="13" fillId="7" borderId="0" xfId="2" applyNumberFormat="1" applyFont="1" applyFill="1" applyBorder="1"/>
    <xf numFmtId="0" fontId="1" fillId="3" borderId="0" xfId="0" applyFont="1" applyFill="1" applyAlignment="1">
      <alignment horizontal="center" vertical="center" wrapText="1"/>
    </xf>
    <xf numFmtId="0" fontId="84" fillId="0" borderId="10" xfId="0" applyFont="1" applyBorder="1"/>
    <xf numFmtId="0" fontId="84" fillId="0" borderId="9" xfId="0" applyFont="1" applyBorder="1"/>
    <xf numFmtId="0" fontId="84" fillId="0" borderId="8" xfId="0" applyFont="1" applyBorder="1"/>
    <xf numFmtId="0" fontId="84" fillId="0" borderId="7" xfId="0" applyFont="1" applyBorder="1"/>
    <xf numFmtId="0" fontId="84" fillId="0" borderId="0" xfId="0" applyFont="1"/>
    <xf numFmtId="0" fontId="84" fillId="0" borderId="6" xfId="0" applyFont="1" applyBorder="1"/>
    <xf numFmtId="0" fontId="84" fillId="0" borderId="5" xfId="0" applyFont="1" applyBorder="1"/>
    <xf numFmtId="0" fontId="84" fillId="0" borderId="4" xfId="0" applyFont="1" applyBorder="1"/>
    <xf numFmtId="0" fontId="84" fillId="0" borderId="3" xfId="0" applyFont="1" applyBorder="1"/>
    <xf numFmtId="0" fontId="13" fillId="7" borderId="0" xfId="0" applyFont="1" applyFill="1"/>
    <xf numFmtId="2" fontId="59" fillId="14" borderId="18" xfId="3" applyNumberFormat="1" applyFont="1" applyFill="1" applyBorder="1" applyAlignment="1">
      <alignment horizontal="right" wrapText="1" indent="1"/>
    </xf>
    <xf numFmtId="175" fontId="1" fillId="0" borderId="0" xfId="2" applyNumberFormat="1" applyFont="1"/>
    <xf numFmtId="166" fontId="35" fillId="7" borderId="1" xfId="2" applyNumberFormat="1" applyFont="1" applyFill="1" applyBorder="1"/>
    <xf numFmtId="0" fontId="1" fillId="0" borderId="8" xfId="0" applyFont="1" applyBorder="1"/>
    <xf numFmtId="0" fontId="1" fillId="0" borderId="6" xfId="0" applyFont="1" applyBorder="1"/>
    <xf numFmtId="0" fontId="1" fillId="0" borderId="3" xfId="0" applyFont="1" applyBorder="1"/>
    <xf numFmtId="41" fontId="85" fillId="7" borderId="0" xfId="0" applyNumberFormat="1" applyFont="1" applyFill="1"/>
    <xf numFmtId="0" fontId="4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7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4" fillId="5" borderId="17" xfId="0" applyFont="1" applyFill="1" applyBorder="1" applyAlignment="1">
      <alignment horizontal="center" vertical="top" wrapText="1"/>
    </xf>
    <xf numFmtId="0" fontId="44" fillId="5" borderId="18" xfId="0" applyFont="1" applyFill="1" applyBorder="1" applyAlignment="1">
      <alignment horizontal="center" vertical="top" wrapText="1"/>
    </xf>
    <xf numFmtId="0" fontId="44" fillId="5" borderId="19" xfId="0" applyFont="1" applyFill="1" applyBorder="1" applyAlignment="1">
      <alignment horizontal="center" vertical="top" wrapText="1"/>
    </xf>
    <xf numFmtId="166" fontId="44" fillId="0" borderId="0" xfId="0" applyNumberFormat="1" applyFont="1" applyAlignment="1">
      <alignment horizontal="center" vertical="top" wrapText="1"/>
    </xf>
    <xf numFmtId="0" fontId="55" fillId="5" borderId="17" xfId="0" applyFont="1" applyFill="1" applyBorder="1" applyAlignment="1">
      <alignment horizontal="center"/>
    </xf>
    <xf numFmtId="0" fontId="55" fillId="5" borderId="18" xfId="0" applyFont="1" applyFill="1" applyBorder="1" applyAlignment="1">
      <alignment horizontal="center"/>
    </xf>
    <xf numFmtId="0" fontId="55" fillId="5" borderId="19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60" fillId="0" borderId="0" xfId="0" applyFont="1" applyAlignment="1">
      <alignment horizontal="left" wrapText="1"/>
    </xf>
    <xf numFmtId="0" fontId="58" fillId="14" borderId="0" xfId="0" applyFont="1" applyFill="1" applyAlignment="1">
      <alignment horizontal="left" wrapText="1"/>
    </xf>
    <xf numFmtId="0" fontId="59" fillId="0" borderId="0" xfId="0" applyFont="1" applyAlignment="1">
      <alignment horizontal="left" wrapText="1"/>
    </xf>
    <xf numFmtId="2" fontId="9" fillId="0" borderId="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justify" wrapText="1"/>
    </xf>
    <xf numFmtId="0" fontId="7" fillId="0" borderId="17" xfId="4" applyBorder="1" applyAlignment="1">
      <alignment horizontal="center"/>
    </xf>
    <xf numFmtId="0" fontId="7" fillId="0" borderId="18" xfId="4" applyBorder="1" applyAlignment="1">
      <alignment horizontal="center"/>
    </xf>
    <xf numFmtId="0" fontId="7" fillId="0" borderId="19" xfId="4" applyBorder="1" applyAlignment="1">
      <alignment horizontal="center"/>
    </xf>
    <xf numFmtId="0" fontId="47" fillId="0" borderId="0" xfId="4" applyFont="1" applyAlignment="1">
      <alignment horizontal="center" wrapText="1"/>
    </xf>
    <xf numFmtId="0" fontId="18" fillId="5" borderId="0" xfId="4" applyFont="1" applyFill="1" applyAlignment="1">
      <alignment horizontal="center"/>
    </xf>
    <xf numFmtId="0" fontId="18" fillId="5" borderId="6" xfId="4" applyFont="1" applyFill="1" applyBorder="1" applyAlignment="1">
      <alignment horizontal="center"/>
    </xf>
    <xf numFmtId="0" fontId="43" fillId="5" borderId="17" xfId="0" applyFont="1" applyFill="1" applyBorder="1" applyAlignment="1">
      <alignment horizontal="center"/>
    </xf>
    <xf numFmtId="0" fontId="43" fillId="5" borderId="18" xfId="0" applyFont="1" applyFill="1" applyBorder="1" applyAlignment="1">
      <alignment horizontal="center"/>
    </xf>
    <xf numFmtId="0" fontId="43" fillId="5" borderId="19" xfId="0" applyFont="1" applyFill="1" applyBorder="1" applyAlignment="1">
      <alignment horizontal="center"/>
    </xf>
    <xf numFmtId="0" fontId="0" fillId="0" borderId="0" xfId="0" applyAlignment="1"/>
  </cellXfs>
  <cellStyles count="7">
    <cellStyle name="Comma" xfId="2" builtinId="3"/>
    <cellStyle name="Currency" xfId="3" builtinId="4"/>
    <cellStyle name="Normal" xfId="0" builtinId="0"/>
    <cellStyle name="Normal 2" xfId="4" xr:uid="{00000000-0005-0000-0000-000003000000}"/>
    <cellStyle name="Normal 3" xfId="5" xr:uid="{261B7C26-03FF-449B-A8E1-84E858AC916A}"/>
    <cellStyle name="Normal_Sheet1" xfId="6" xr:uid="{BDFDFB59-8515-4940-94E6-2E2F0BFFE007}"/>
    <cellStyle name="Percent" xfId="1" builtinId="5"/>
  </cellStyles>
  <dxfs count="0"/>
  <tableStyles count="0" defaultTableStyle="TableStyleMedium2" defaultPivotStyle="PivotStyleLight16"/>
  <colors>
    <mruColors>
      <color rgb="FF005296"/>
      <color rgb="FFCCEEFF"/>
      <color rgb="FFE2E9F6"/>
      <color rgb="FFFFFFCC"/>
      <color rgb="FF33CCFF"/>
      <color rgb="FFFFFF99"/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28581</xdr:colOff>
      <xdr:row>8</xdr:row>
      <xdr:rowOff>19049</xdr:rowOff>
    </xdr:from>
    <xdr:ext cx="352420" cy="14664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1FEAB4-02DC-4DB4-8FB9-E39414DBBF73}"/>
            </a:ext>
          </a:extLst>
        </xdr:cNvPr>
        <xdr:cNvSpPr txBox="1"/>
      </xdr:nvSpPr>
      <xdr:spPr>
        <a:xfrm rot="16200000">
          <a:off x="9287923" y="2178501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28581</xdr:colOff>
      <xdr:row>3</xdr:row>
      <xdr:rowOff>19049</xdr:rowOff>
    </xdr:from>
    <xdr:ext cx="352420" cy="14664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7477A2-DAB8-454D-93C7-EBD9620345C1}"/>
            </a:ext>
          </a:extLst>
        </xdr:cNvPr>
        <xdr:cNvSpPr txBox="1"/>
      </xdr:nvSpPr>
      <xdr:spPr>
        <a:xfrm rot="16200000">
          <a:off x="2462420" y="1176135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  <xdr:oneCellAnchor>
    <xdr:from>
      <xdr:col>3</xdr:col>
      <xdr:colOff>28581</xdr:colOff>
      <xdr:row>3</xdr:row>
      <xdr:rowOff>19049</xdr:rowOff>
    </xdr:from>
    <xdr:ext cx="352420" cy="14664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FAE7BF-0546-45B3-B3AB-E7BE5CB8796B}"/>
            </a:ext>
          </a:extLst>
        </xdr:cNvPr>
        <xdr:cNvSpPr txBox="1"/>
      </xdr:nvSpPr>
      <xdr:spPr>
        <a:xfrm rot="16200000">
          <a:off x="8301245" y="2300085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EC4B7-ADF8-4F33-B661-5A51F60B27B3}">
  <we:reference id="1e10eb66-9ba2-46e3-84ee-57e2a49831f0" version="3.0.0.1" store="EXCatalog" storeType="EXCatalog"/>
  <we:alternateReferences>
    <we:reference id="WA104100404" version="3.0.0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E636-5EE7-4612-9F12-52CA2C970F9C}">
  <sheetPr codeName="Sheet15"/>
  <dimension ref="A1:I9"/>
  <sheetViews>
    <sheetView zoomScale="143" workbookViewId="0">
      <selection activeCell="I14" sqref="I14"/>
    </sheetView>
  </sheetViews>
  <sheetFormatPr defaultColWidth="8.85546875" defaultRowHeight="15"/>
  <cols>
    <col min="2" max="2" width="13" customWidth="1"/>
  </cols>
  <sheetData>
    <row r="1" spans="1:9" ht="15.75" thickBot="1">
      <c r="A1" s="142" t="s">
        <v>0</v>
      </c>
      <c r="B1" s="107">
        <v>39</v>
      </c>
      <c r="C1" s="171" t="s">
        <v>1</v>
      </c>
      <c r="D1" s="171"/>
      <c r="E1" s="171"/>
      <c r="F1" s="171"/>
      <c r="G1" s="171"/>
      <c r="H1" s="172"/>
      <c r="I1" s="172"/>
    </row>
    <row r="2" spans="1:9" ht="15.75" thickBot="1">
      <c r="A2" s="142" t="s">
        <v>2</v>
      </c>
      <c r="B2" s="107" t="s">
        <v>3</v>
      </c>
      <c r="C2" s="171" t="s">
        <v>4</v>
      </c>
      <c r="D2" s="171"/>
      <c r="E2" s="171"/>
      <c r="F2" s="171"/>
      <c r="G2" s="171"/>
      <c r="H2" s="172"/>
      <c r="I2" s="172"/>
    </row>
    <row r="3" spans="1:9">
      <c r="C3" s="142"/>
      <c r="D3" s="142"/>
      <c r="E3" s="142"/>
      <c r="F3" s="142"/>
      <c r="G3" s="142"/>
    </row>
    <row r="4" spans="1:9">
      <c r="C4" s="142" t="s">
        <v>5</v>
      </c>
      <c r="D4" s="142"/>
      <c r="E4" s="142"/>
      <c r="F4" s="142"/>
      <c r="G4" s="142"/>
    </row>
    <row r="5" spans="1:9" ht="15.75" thickBot="1">
      <c r="C5" s="142"/>
      <c r="D5" s="142"/>
      <c r="E5" s="142"/>
      <c r="F5" s="142"/>
      <c r="G5" s="142"/>
    </row>
    <row r="6" spans="1:9">
      <c r="B6" s="421" t="s">
        <v>6</v>
      </c>
      <c r="C6" s="422"/>
      <c r="D6" s="422"/>
      <c r="E6" s="422"/>
      <c r="F6" s="422"/>
      <c r="G6" s="422"/>
      <c r="H6" s="422"/>
      <c r="I6" s="423"/>
    </row>
    <row r="7" spans="1:9">
      <c r="B7" s="424" t="s">
        <v>7</v>
      </c>
      <c r="C7" s="425"/>
      <c r="D7" s="425"/>
      <c r="E7" s="425"/>
      <c r="F7" s="425"/>
      <c r="G7" s="425"/>
      <c r="H7" s="425"/>
      <c r="I7" s="426"/>
    </row>
    <row r="8" spans="1:9">
      <c r="B8" s="424" t="s">
        <v>8</v>
      </c>
      <c r="C8" s="425"/>
      <c r="D8" s="425"/>
      <c r="E8" s="425"/>
      <c r="F8" s="425"/>
      <c r="G8" s="425"/>
      <c r="H8" s="425"/>
      <c r="I8" s="426"/>
    </row>
    <row r="9" spans="1:9" ht="15.75" thickBot="1">
      <c r="B9" s="427" t="s">
        <v>9</v>
      </c>
      <c r="C9" s="428"/>
      <c r="D9" s="428"/>
      <c r="E9" s="428"/>
      <c r="F9" s="428"/>
      <c r="G9" s="428"/>
      <c r="H9" s="428"/>
      <c r="I9" s="4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"/>
  <sheetViews>
    <sheetView view="pageBreakPreview" zoomScaleNormal="100" zoomScaleSheetLayoutView="100" workbookViewId="0">
      <selection activeCell="D10" sqref="D10"/>
    </sheetView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3"/>
  <sheetViews>
    <sheetView zoomScale="156" zoomScaleNormal="98" workbookViewId="0">
      <selection activeCell="E10" sqref="E10"/>
    </sheetView>
  </sheetViews>
  <sheetFormatPr defaultColWidth="8.85546875" defaultRowHeight="15"/>
  <cols>
    <col min="1" max="1" width="49" customWidth="1"/>
    <col min="2" max="3" width="12" bestFit="1" customWidth="1"/>
    <col min="4" max="4" width="13.28515625" style="301" customWidth="1"/>
    <col min="5" max="5" width="10" bestFit="1" customWidth="1"/>
  </cols>
  <sheetData>
    <row r="1" spans="1:10" ht="15.75">
      <c r="A1" s="3" t="s">
        <v>10</v>
      </c>
      <c r="B1" s="2"/>
      <c r="C1" s="2"/>
      <c r="D1" s="304"/>
      <c r="E1" s="2"/>
    </row>
    <row r="2" spans="1:10" ht="15.75" customHeight="1">
      <c r="A2" s="438" t="s">
        <v>11</v>
      </c>
      <c r="B2" s="439" t="s">
        <v>12</v>
      </c>
      <c r="C2" s="466"/>
      <c r="D2" s="466"/>
      <c r="E2" s="2"/>
    </row>
    <row r="3" spans="1:10" ht="31.5" customHeight="1">
      <c r="A3" s="466"/>
      <c r="B3" s="324" t="s">
        <v>13</v>
      </c>
      <c r="C3" s="324" t="s">
        <v>14</v>
      </c>
      <c r="D3" s="386" t="s">
        <v>15</v>
      </c>
      <c r="F3" s="324"/>
    </row>
    <row r="4" spans="1:10">
      <c r="A4" s="111" t="s">
        <v>16</v>
      </c>
      <c r="B4" s="299">
        <v>80187</v>
      </c>
      <c r="C4" s="329">
        <v>82006</v>
      </c>
      <c r="D4" s="299">
        <v>84039</v>
      </c>
      <c r="E4" s="190"/>
      <c r="F4" s="299"/>
      <c r="H4" s="75"/>
      <c r="I4" s="75"/>
      <c r="J4" s="75"/>
    </row>
    <row r="5" spans="1:10">
      <c r="A5" s="111" t="s">
        <v>17</v>
      </c>
      <c r="B5" s="300">
        <v>42157</v>
      </c>
      <c r="C5" s="330">
        <v>42760</v>
      </c>
      <c r="D5" s="300">
        <v>40848</v>
      </c>
      <c r="F5" s="300"/>
      <c r="H5" s="76"/>
      <c r="I5" s="76"/>
      <c r="J5" s="76"/>
    </row>
    <row r="6" spans="1:10">
      <c r="A6" s="111" t="s">
        <v>18</v>
      </c>
      <c r="B6" s="300">
        <v>20217</v>
      </c>
      <c r="C6" s="330">
        <v>21112</v>
      </c>
      <c r="D6" s="300">
        <v>23305</v>
      </c>
      <c r="F6" s="300"/>
      <c r="H6" s="76"/>
      <c r="I6" s="76"/>
      <c r="J6" s="76"/>
    </row>
    <row r="7" spans="1:10" ht="30">
      <c r="A7" s="111" t="s">
        <v>19</v>
      </c>
      <c r="B7" s="301"/>
      <c r="C7" s="301"/>
      <c r="D7" s="300">
        <v>1341</v>
      </c>
      <c r="F7" s="301"/>
    </row>
    <row r="8" spans="1:10">
      <c r="A8" s="111" t="s">
        <v>20</v>
      </c>
      <c r="B8" s="300">
        <v>17813</v>
      </c>
      <c r="C8" s="330">
        <v>18134</v>
      </c>
      <c r="D8" s="300">
        <v>18545</v>
      </c>
      <c r="F8" s="300"/>
      <c r="H8" s="76"/>
      <c r="I8" s="76"/>
      <c r="J8" s="76"/>
    </row>
    <row r="9" spans="1:10">
      <c r="A9" s="111" t="s">
        <v>21</v>
      </c>
      <c r="B9" s="300">
        <v>-439</v>
      </c>
      <c r="C9" s="330">
        <v>-756</v>
      </c>
      <c r="D9" s="300">
        <v>-925</v>
      </c>
      <c r="F9" s="300"/>
      <c r="G9" t="s">
        <v>22</v>
      </c>
      <c r="H9" s="76"/>
      <c r="I9" s="76"/>
      <c r="J9" s="76"/>
    </row>
    <row r="10" spans="1:10">
      <c r="A10" s="111" t="s">
        <v>23</v>
      </c>
      <c r="B10" s="300">
        <v>51</v>
      </c>
      <c r="C10" s="330">
        <v>307</v>
      </c>
      <c r="D10" s="300">
        <v>473</v>
      </c>
      <c r="F10" s="300"/>
      <c r="H10" s="76"/>
      <c r="I10" s="76"/>
      <c r="J10" s="76"/>
    </row>
    <row r="11" spans="1:10">
      <c r="A11" s="111" t="s">
        <v>24</v>
      </c>
      <c r="B11" s="300">
        <v>570</v>
      </c>
      <c r="C11" s="330">
        <v>668</v>
      </c>
      <c r="D11" s="300">
        <v>668</v>
      </c>
      <c r="F11" s="300"/>
      <c r="H11" s="76"/>
      <c r="I11" s="76"/>
      <c r="J11" s="76"/>
    </row>
    <row r="12" spans="1:10" ht="30">
      <c r="A12" s="111" t="s">
        <v>25</v>
      </c>
      <c r="B12" s="300">
        <v>17995</v>
      </c>
      <c r="C12" s="330">
        <v>18353</v>
      </c>
      <c r="D12" s="300">
        <v>18761</v>
      </c>
      <c r="F12" s="300"/>
      <c r="H12" s="76"/>
      <c r="I12" s="76"/>
      <c r="J12" s="76"/>
    </row>
    <row r="13" spans="1:10">
      <c r="A13" s="111" t="s">
        <v>26</v>
      </c>
      <c r="B13" s="300">
        <v>3202</v>
      </c>
      <c r="C13" s="330">
        <v>3615</v>
      </c>
      <c r="D13" s="300">
        <v>3787</v>
      </c>
      <c r="F13" s="300"/>
      <c r="H13" s="76"/>
      <c r="I13" s="76"/>
      <c r="J13" s="76"/>
    </row>
    <row r="14" spans="1:10">
      <c r="A14" s="111" t="s">
        <v>27</v>
      </c>
      <c r="B14" s="300">
        <v>14793</v>
      </c>
      <c r="C14" s="330">
        <v>14738</v>
      </c>
      <c r="D14" s="300">
        <v>14974</v>
      </c>
      <c r="F14" s="300"/>
      <c r="H14" s="76"/>
      <c r="I14" s="76"/>
      <c r="J14" s="76"/>
    </row>
    <row r="15" spans="1:10">
      <c r="A15" s="111" t="s">
        <v>28</v>
      </c>
      <c r="B15" s="300">
        <v>51</v>
      </c>
      <c r="C15" s="330">
        <v>85</v>
      </c>
      <c r="D15" s="300">
        <v>95</v>
      </c>
      <c r="F15" s="300"/>
      <c r="H15" s="76"/>
      <c r="I15" s="76"/>
      <c r="J15" s="76"/>
    </row>
    <row r="16" spans="1:10">
      <c r="A16" s="111" t="s">
        <v>29</v>
      </c>
      <c r="B16" s="299">
        <v>14742</v>
      </c>
      <c r="C16" s="329">
        <v>14653</v>
      </c>
      <c r="D16" s="299">
        <v>14879</v>
      </c>
      <c r="F16" s="299"/>
      <c r="H16" s="75"/>
      <c r="I16" s="75"/>
      <c r="J16" s="75"/>
    </row>
    <row r="17" spans="1:10">
      <c r="A17" s="110" t="s">
        <v>30</v>
      </c>
      <c r="B17" s="302" t="s">
        <v>31</v>
      </c>
      <c r="C17" s="331" t="s">
        <v>22</v>
      </c>
      <c r="D17" s="302" t="s">
        <v>31</v>
      </c>
      <c r="F17" s="302"/>
      <c r="H17" s="111"/>
      <c r="I17" s="111"/>
      <c r="J17" s="111"/>
    </row>
    <row r="18" spans="1:10">
      <c r="A18" s="111" t="s">
        <v>32</v>
      </c>
      <c r="B18" s="303">
        <v>6</v>
      </c>
      <c r="C18" s="331">
        <v>6.07</v>
      </c>
      <c r="D18" s="303">
        <v>6.18</v>
      </c>
      <c r="E18" s="111"/>
      <c r="F18" s="299"/>
      <c r="G18" s="111"/>
      <c r="H18" s="75"/>
      <c r="I18" s="85"/>
      <c r="J18" s="85"/>
    </row>
    <row r="19" spans="1:10">
      <c r="A19" s="110" t="s">
        <v>33</v>
      </c>
      <c r="B19" s="302" t="s">
        <v>31</v>
      </c>
      <c r="C19" s="332" t="s">
        <v>31</v>
      </c>
      <c r="F19" s="302"/>
      <c r="H19" s="111"/>
      <c r="I19" s="111"/>
      <c r="J19" s="111"/>
    </row>
    <row r="20" spans="1:10">
      <c r="A20" s="111" t="s">
        <v>34</v>
      </c>
      <c r="B20" s="303">
        <v>5.81</v>
      </c>
      <c r="C20" s="331">
        <v>5.9</v>
      </c>
      <c r="D20" s="303">
        <v>6.02</v>
      </c>
      <c r="E20" s="111"/>
      <c r="F20" s="303"/>
      <c r="G20" s="111"/>
      <c r="H20" s="85"/>
      <c r="I20" s="85"/>
      <c r="J20" s="85"/>
    </row>
    <row r="21" spans="1:10" ht="15.75">
      <c r="A21" s="2" t="s">
        <v>35</v>
      </c>
      <c r="B21" s="299">
        <v>8770</v>
      </c>
      <c r="C21" s="329">
        <v>8999</v>
      </c>
      <c r="D21" s="299">
        <v>9312</v>
      </c>
      <c r="E21" s="76"/>
      <c r="F21" s="299"/>
      <c r="G21" s="76"/>
      <c r="H21" s="75"/>
      <c r="I21" s="2"/>
    </row>
    <row r="22" spans="1:10" ht="15.75">
      <c r="A22" s="2"/>
      <c r="B22" s="303"/>
      <c r="C22" s="397"/>
      <c r="D22" s="396"/>
      <c r="E22" s="2"/>
      <c r="F22" s="303"/>
      <c r="G22" s="76"/>
      <c r="H22" s="85"/>
      <c r="I22" s="2"/>
    </row>
    <row r="23" spans="1:10" ht="15.75">
      <c r="A23" s="1"/>
      <c r="B23" s="300"/>
      <c r="C23" s="304"/>
      <c r="D23" s="396"/>
      <c r="E23" s="2"/>
      <c r="F23" s="300"/>
      <c r="G23" s="75"/>
      <c r="H23" s="76"/>
      <c r="I23" s="2"/>
    </row>
    <row r="24" spans="1:10" ht="15.75">
      <c r="B24" s="398"/>
      <c r="C24" s="397"/>
      <c r="D24" s="396"/>
      <c r="E24" s="2"/>
      <c r="I24" s="2"/>
    </row>
    <row r="25" spans="1:10" ht="15.75">
      <c r="B25" s="303"/>
      <c r="C25" s="304"/>
      <c r="E25" s="2"/>
      <c r="F25" s="85"/>
      <c r="G25" s="85"/>
      <c r="H25" s="85"/>
      <c r="I25" s="2"/>
    </row>
    <row r="26" spans="1:10" ht="15.75">
      <c r="B26" s="300"/>
      <c r="C26" s="301"/>
      <c r="E26" s="2"/>
      <c r="F26" s="76"/>
      <c r="G26" s="108"/>
      <c r="H26" s="76"/>
    </row>
    <row r="27" spans="1:10">
      <c r="B27" s="301"/>
      <c r="C27" s="301"/>
      <c r="G27" s="85"/>
    </row>
    <row r="28" spans="1:10">
      <c r="B28" s="301"/>
      <c r="C28" s="301"/>
      <c r="G28" s="76"/>
    </row>
    <row r="29" spans="1:10">
      <c r="B29" s="301"/>
      <c r="C29" s="301"/>
    </row>
    <row r="30" spans="1:10">
      <c r="B30" s="301"/>
      <c r="C30" s="301"/>
      <c r="G30" s="85"/>
    </row>
    <row r="31" spans="1:10">
      <c r="B31" s="301"/>
      <c r="C31" s="301"/>
      <c r="G31" s="108"/>
    </row>
    <row r="32" spans="1:10">
      <c r="G32" s="85"/>
    </row>
    <row r="33" spans="7:7">
      <c r="G33" s="76"/>
    </row>
  </sheetData>
  <mergeCells count="2">
    <mergeCell ref="A2:A3"/>
    <mergeCell ref="B2:D2"/>
  </mergeCells>
  <printOptions headings="1" gridLines="1"/>
  <pageMargins left="0.7" right="0.7" top="0.75" bottom="0.75" header="0.3" footer="0.3"/>
  <pageSetup orientation="portrait"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51"/>
  <sheetViews>
    <sheetView topLeftCell="A23" zoomScale="133" zoomScaleNormal="100" workbookViewId="0">
      <selection activeCell="A11" sqref="A11"/>
    </sheetView>
  </sheetViews>
  <sheetFormatPr defaultColWidth="8.85546875" defaultRowHeight="15"/>
  <cols>
    <col min="1" max="1" width="48.7109375" customWidth="1"/>
    <col min="2" max="2" width="17" customWidth="1"/>
    <col min="3" max="3" width="14" customWidth="1"/>
    <col min="4" max="4" width="17" style="356" customWidth="1"/>
    <col min="5" max="5" width="40.7109375" customWidth="1"/>
    <col min="6" max="6" width="15.28515625" customWidth="1"/>
    <col min="7" max="7" width="14.28515625" customWidth="1"/>
    <col min="8" max="8" width="15.85546875" customWidth="1"/>
  </cols>
  <sheetData>
    <row r="1" spans="1:12" ht="30">
      <c r="A1" s="323" t="s">
        <v>36</v>
      </c>
      <c r="B1" s="324" t="s">
        <v>13</v>
      </c>
      <c r="C1" s="352" t="s">
        <v>14</v>
      </c>
      <c r="D1" s="352" t="s">
        <v>15</v>
      </c>
      <c r="E1" s="324"/>
    </row>
    <row r="2" spans="1:12">
      <c r="A2" s="110" t="s">
        <v>37</v>
      </c>
      <c r="D2" s="353" t="s">
        <v>31</v>
      </c>
    </row>
    <row r="3" spans="1:12" ht="30">
      <c r="A3" s="111" t="s">
        <v>38</v>
      </c>
      <c r="B3" s="354">
        <v>7214</v>
      </c>
      <c r="C3" s="354">
        <v>8246</v>
      </c>
      <c r="D3" s="75">
        <v>9482</v>
      </c>
      <c r="E3" s="75"/>
    </row>
    <row r="4" spans="1:12" ht="31.5" customHeight="1">
      <c r="A4" s="111" t="s">
        <v>39</v>
      </c>
      <c r="B4" s="355">
        <v>5143</v>
      </c>
      <c r="C4" s="355">
        <v>5471</v>
      </c>
      <c r="D4" s="76">
        <v>6118</v>
      </c>
      <c r="E4" s="76"/>
    </row>
    <row r="5" spans="1:12" ht="24.75" customHeight="1">
      <c r="A5" s="110" t="s">
        <v>40</v>
      </c>
      <c r="B5" s="353" t="s">
        <v>31</v>
      </c>
      <c r="C5" s="353" t="s">
        <v>31</v>
      </c>
      <c r="D5" s="111" t="s">
        <v>31</v>
      </c>
      <c r="E5" s="111"/>
    </row>
    <row r="6" spans="1:12" ht="16.5" customHeight="1">
      <c r="A6" s="111" t="s">
        <v>41</v>
      </c>
      <c r="B6" s="355">
        <v>2168</v>
      </c>
      <c r="C6" s="355">
        <v>1863</v>
      </c>
      <c r="D6" s="76">
        <v>1617</v>
      </c>
      <c r="E6" s="76"/>
    </row>
    <row r="7" spans="1:12" ht="16.5" customHeight="1">
      <c r="A7" s="111" t="s">
        <v>42</v>
      </c>
      <c r="B7" s="355">
        <v>856</v>
      </c>
      <c r="C7" s="355">
        <v>956</v>
      </c>
      <c r="D7" s="76">
        <v>929</v>
      </c>
      <c r="E7" s="76"/>
    </row>
    <row r="8" spans="1:12">
      <c r="A8" s="111" t="s">
        <v>43</v>
      </c>
      <c r="B8" s="355">
        <v>3900</v>
      </c>
      <c r="C8" s="355">
        <v>4254</v>
      </c>
      <c r="D8" s="76">
        <v>4470</v>
      </c>
      <c r="E8" s="76"/>
    </row>
    <row r="9" spans="1:12" ht="16.5" customHeight="1">
      <c r="A9" s="111" t="s">
        <v>44</v>
      </c>
      <c r="B9" s="355">
        <v>6924</v>
      </c>
      <c r="C9" s="355">
        <v>7073</v>
      </c>
      <c r="D9" s="76">
        <v>7016</v>
      </c>
      <c r="E9" s="76"/>
      <c r="F9" s="194"/>
      <c r="G9" s="194"/>
      <c r="H9" s="190"/>
      <c r="J9" s="194"/>
      <c r="K9" s="194"/>
      <c r="L9" s="194"/>
    </row>
    <row r="10" spans="1:12" ht="16.5" customHeight="1">
      <c r="A10" s="111" t="s">
        <v>45</v>
      </c>
      <c r="B10" s="355">
        <v>2372</v>
      </c>
      <c r="C10" s="355">
        <v>1858</v>
      </c>
      <c r="D10" s="76">
        <v>2094</v>
      </c>
      <c r="E10" s="76"/>
    </row>
    <row r="11" spans="1:12">
      <c r="A11" s="111" t="s">
        <v>46</v>
      </c>
      <c r="B11" s="355">
        <v>21653</v>
      </c>
      <c r="C11" s="355">
        <v>22648</v>
      </c>
      <c r="D11" s="76">
        <v>24709</v>
      </c>
      <c r="E11" s="76"/>
      <c r="F11" s="194"/>
      <c r="G11" s="194"/>
    </row>
    <row r="12" spans="1:12" ht="16.5" customHeight="1">
      <c r="A12" s="111" t="s">
        <v>47</v>
      </c>
      <c r="B12" s="355">
        <v>21195</v>
      </c>
      <c r="C12" s="355">
        <v>21909</v>
      </c>
      <c r="D12" s="76">
        <v>22152</v>
      </c>
      <c r="E12" s="76"/>
      <c r="G12" s="194"/>
    </row>
    <row r="13" spans="1:12" ht="16.5" customHeight="1">
      <c r="A13" s="111" t="s">
        <v>48</v>
      </c>
      <c r="B13" s="355">
        <v>39700</v>
      </c>
      <c r="C13" s="355">
        <v>40659</v>
      </c>
      <c r="D13" s="76">
        <v>40303</v>
      </c>
      <c r="E13" s="76"/>
    </row>
    <row r="14" spans="1:12">
      <c r="A14" s="111" t="s">
        <v>49</v>
      </c>
      <c r="B14" s="355">
        <v>23679</v>
      </c>
      <c r="C14" s="355">
        <v>23783</v>
      </c>
      <c r="D14" s="76">
        <v>22047</v>
      </c>
      <c r="E14" s="76"/>
    </row>
    <row r="15" spans="1:12">
      <c r="A15" s="111" t="s">
        <v>50</v>
      </c>
      <c r="B15" s="355">
        <v>10981</v>
      </c>
      <c r="C15" s="355">
        <v>11830</v>
      </c>
      <c r="D15" s="76">
        <v>13158</v>
      </c>
      <c r="E15" s="76"/>
    </row>
    <row r="16" spans="1:12">
      <c r="A16" s="111" t="s">
        <v>51</v>
      </c>
      <c r="B16" s="355">
        <v>117208</v>
      </c>
      <c r="C16" s="355">
        <v>120829</v>
      </c>
      <c r="D16" s="76">
        <v>122370</v>
      </c>
      <c r="E16" s="76"/>
    </row>
    <row r="17" spans="1:5">
      <c r="A17" s="110" t="s">
        <v>52</v>
      </c>
      <c r="B17" s="353" t="s">
        <v>31</v>
      </c>
      <c r="C17" s="353" t="s">
        <v>31</v>
      </c>
      <c r="D17" s="111" t="s">
        <v>31</v>
      </c>
      <c r="E17" s="111"/>
    </row>
    <row r="18" spans="1:5">
      <c r="A18" s="111" t="s">
        <v>53</v>
      </c>
      <c r="B18" s="355">
        <v>14882</v>
      </c>
      <c r="C18" s="355">
        <v>14598</v>
      </c>
      <c r="D18" s="76">
        <v>15365</v>
      </c>
      <c r="E18" s="76"/>
    </row>
    <row r="19" spans="1:5" ht="16.5" customHeight="1">
      <c r="A19" s="111" t="s">
        <v>54</v>
      </c>
      <c r="B19" s="355">
        <v>9554</v>
      </c>
      <c r="C19" s="355">
        <v>10929</v>
      </c>
      <c r="D19" s="76">
        <v>11073</v>
      </c>
      <c r="E19" s="76"/>
    </row>
    <row r="20" spans="1:5">
      <c r="A20" s="111" t="s">
        <v>55</v>
      </c>
      <c r="B20" s="355">
        <v>8645</v>
      </c>
      <c r="C20" s="355">
        <v>10229</v>
      </c>
      <c r="D20" s="76">
        <v>7191</v>
      </c>
      <c r="E20" s="76"/>
    </row>
    <row r="21" spans="1:5">
      <c r="A21" s="111" t="s">
        <v>56</v>
      </c>
      <c r="B21" s="355">
        <v>33081</v>
      </c>
      <c r="C21" s="355">
        <v>35756</v>
      </c>
      <c r="D21" s="76">
        <v>33627</v>
      </c>
      <c r="E21" s="76"/>
    </row>
    <row r="22" spans="1:5">
      <c r="A22" s="111" t="s">
        <v>57</v>
      </c>
      <c r="B22" s="355">
        <v>22848</v>
      </c>
      <c r="C22" s="355">
        <v>24378</v>
      </c>
      <c r="D22" s="76">
        <v>25269</v>
      </c>
      <c r="E22" s="76"/>
    </row>
    <row r="23" spans="1:5" ht="16.5" customHeight="1">
      <c r="A23" s="111" t="s">
        <v>58</v>
      </c>
      <c r="B23" s="355">
        <v>6809</v>
      </c>
      <c r="C23" s="355">
        <v>6478</v>
      </c>
      <c r="D23" s="76">
        <v>6516</v>
      </c>
      <c r="E23" s="76"/>
    </row>
    <row r="24" spans="1:5">
      <c r="A24" s="111" t="s">
        <v>59</v>
      </c>
      <c r="B24" s="355">
        <v>7616</v>
      </c>
      <c r="C24" s="355">
        <v>7152</v>
      </c>
      <c r="D24" s="76">
        <v>6398</v>
      </c>
      <c r="E24" s="76"/>
    </row>
    <row r="25" spans="1:5">
      <c r="A25" s="111" t="s">
        <v>60</v>
      </c>
      <c r="B25" s="355">
        <v>70354</v>
      </c>
      <c r="C25" s="355">
        <v>73764</v>
      </c>
      <c r="D25" s="76">
        <v>71811</v>
      </c>
      <c r="E25" s="76"/>
    </row>
    <row r="26" spans="1:5">
      <c r="A26" s="110" t="s">
        <v>61</v>
      </c>
      <c r="B26" s="353" t="s">
        <v>31</v>
      </c>
      <c r="C26" s="353" t="s">
        <v>31</v>
      </c>
      <c r="D26" s="111" t="s">
        <v>31</v>
      </c>
      <c r="E26" s="111"/>
    </row>
    <row r="27" spans="1:5">
      <c r="A27" s="110" t="s">
        <v>62</v>
      </c>
      <c r="B27" s="356">
        <v>843</v>
      </c>
      <c r="C27" s="354">
        <v>819</v>
      </c>
      <c r="D27" s="356">
        <v>798</v>
      </c>
      <c r="E27" s="76"/>
    </row>
    <row r="28" spans="1:5" ht="16.5" customHeight="1">
      <c r="A28" s="111" t="s">
        <v>63</v>
      </c>
      <c r="B28" s="355">
        <v>4009</v>
      </c>
      <c r="C28" s="355">
        <v>4009</v>
      </c>
      <c r="D28" s="76">
        <v>4009</v>
      </c>
      <c r="E28" s="76"/>
    </row>
    <row r="29" spans="1:5">
      <c r="A29" s="111" t="s">
        <v>64</v>
      </c>
      <c r="B29" s="355">
        <v>65795</v>
      </c>
      <c r="C29" s="355">
        <v>66556</v>
      </c>
      <c r="D29" s="76">
        <v>67684</v>
      </c>
      <c r="E29" s="76"/>
    </row>
    <row r="30" spans="1:5">
      <c r="A30" s="111" t="s">
        <v>65</v>
      </c>
      <c r="B30" s="355">
        <v>-916</v>
      </c>
      <c r="C30" s="355">
        <v>-821</v>
      </c>
      <c r="D30" s="76">
        <v>-737</v>
      </c>
      <c r="E30" s="76"/>
    </row>
    <row r="31" spans="1:5" ht="30">
      <c r="A31" s="111" t="s">
        <v>66</v>
      </c>
      <c r="B31" s="355">
        <v>-12189</v>
      </c>
      <c r="C31" s="355">
        <v>-12220</v>
      </c>
      <c r="D31" s="76">
        <v>-11900</v>
      </c>
      <c r="E31" s="76"/>
    </row>
    <row r="32" spans="1:5" ht="16.5" customHeight="1">
      <c r="A32" s="111" t="s">
        <v>67</v>
      </c>
      <c r="B32" s="355">
        <v>-123382</v>
      </c>
      <c r="C32" s="355">
        <v>-129736</v>
      </c>
      <c r="D32" s="76">
        <v>-133379</v>
      </c>
      <c r="E32" s="76"/>
    </row>
    <row r="33" spans="1:7">
      <c r="A33" s="111" t="s">
        <v>68</v>
      </c>
      <c r="B33" s="355">
        <v>112429</v>
      </c>
      <c r="C33" s="355">
        <v>118170</v>
      </c>
      <c r="D33" s="76">
        <v>123811</v>
      </c>
      <c r="E33" s="76"/>
    </row>
    <row r="34" spans="1:7" ht="30">
      <c r="A34" s="111" t="s">
        <v>69</v>
      </c>
      <c r="B34" s="355">
        <v>265</v>
      </c>
      <c r="C34" s="355">
        <v>288</v>
      </c>
      <c r="D34" s="76">
        <v>272</v>
      </c>
      <c r="E34" s="76"/>
    </row>
    <row r="35" spans="1:7" ht="30">
      <c r="A35" s="111" t="s">
        <v>70</v>
      </c>
      <c r="B35" s="355">
        <v>46854</v>
      </c>
      <c r="C35" s="355">
        <v>47065</v>
      </c>
      <c r="D35" s="76">
        <v>50559</v>
      </c>
      <c r="E35" s="76"/>
      <c r="F35" s="194"/>
      <c r="G35" s="194"/>
    </row>
    <row r="36" spans="1:7" ht="16.5" customHeight="1">
      <c r="A36" s="111" t="s">
        <v>71</v>
      </c>
      <c r="B36" s="354">
        <v>117208</v>
      </c>
      <c r="C36" s="354">
        <v>120829</v>
      </c>
      <c r="D36" s="76">
        <v>122370</v>
      </c>
      <c r="E36" s="75"/>
      <c r="F36" s="194"/>
      <c r="G36" s="194"/>
    </row>
    <row r="37" spans="1:7">
      <c r="A37" s="111" t="s">
        <v>72</v>
      </c>
      <c r="B37" s="402">
        <v>4009.2</v>
      </c>
      <c r="C37" s="402">
        <v>4009.2</v>
      </c>
      <c r="D37" s="402">
        <v>4009.2</v>
      </c>
      <c r="E37" s="333"/>
      <c r="F37" s="194"/>
      <c r="G37" s="194"/>
    </row>
    <row r="38" spans="1:7">
      <c r="A38" s="111" t="s">
        <v>73</v>
      </c>
      <c r="B38" s="354">
        <v>1</v>
      </c>
      <c r="C38" s="354">
        <v>1</v>
      </c>
      <c r="D38" s="354">
        <v>1</v>
      </c>
      <c r="E38" s="111"/>
    </row>
    <row r="39" spans="1:7">
      <c r="A39" s="111" t="s">
        <v>74</v>
      </c>
      <c r="B39" s="355">
        <v>10000</v>
      </c>
      <c r="C39" s="355">
        <v>10000</v>
      </c>
      <c r="D39" s="355">
        <v>10000</v>
      </c>
      <c r="E39" s="111"/>
    </row>
    <row r="40" spans="1:7" ht="16.5" customHeight="1">
      <c r="A40" s="111" t="s">
        <v>75</v>
      </c>
      <c r="B40" s="402">
        <v>1615.4</v>
      </c>
      <c r="C40" s="402">
        <v>1647.1</v>
      </c>
      <c r="D40" s="402">
        <v>1652.2</v>
      </c>
      <c r="E40" s="111"/>
    </row>
    <row r="41" spans="1:7">
      <c r="A41" s="111"/>
      <c r="C41" s="353" t="s">
        <v>31</v>
      </c>
      <c r="D41" s="111" t="s">
        <v>31</v>
      </c>
      <c r="E41" s="110"/>
    </row>
    <row r="42" spans="1:7">
      <c r="A42" s="110"/>
      <c r="C42" s="353" t="s">
        <v>31</v>
      </c>
      <c r="D42" s="75" t="s">
        <v>22</v>
      </c>
      <c r="E42" s="111"/>
    </row>
    <row r="43" spans="1:7">
      <c r="A43" s="111"/>
      <c r="B43" s="75"/>
      <c r="C43" s="75"/>
      <c r="D43"/>
      <c r="E43" s="111"/>
    </row>
    <row r="44" spans="1:7" ht="16.5" customHeight="1">
      <c r="A44" s="111"/>
      <c r="B44" s="75"/>
      <c r="C44" s="75"/>
      <c r="D44" s="354"/>
      <c r="E44" s="111"/>
    </row>
    <row r="45" spans="1:7">
      <c r="A45" s="111"/>
      <c r="B45" s="76"/>
      <c r="C45" s="76"/>
      <c r="D45" s="355"/>
      <c r="E45" s="111"/>
    </row>
    <row r="46" spans="1:7">
      <c r="A46" s="111"/>
      <c r="D46" s="353"/>
      <c r="E46" s="110"/>
    </row>
    <row r="47" spans="1:7">
      <c r="A47" s="110"/>
      <c r="D47" s="353"/>
      <c r="E47" s="111"/>
    </row>
    <row r="48" spans="1:7">
      <c r="A48" s="111"/>
      <c r="B48" s="75"/>
      <c r="D48" s="354"/>
      <c r="E48" s="111"/>
    </row>
    <row r="49" spans="1:5">
      <c r="A49" s="111"/>
      <c r="B49" s="75"/>
      <c r="D49" s="354"/>
      <c r="E49" s="111"/>
    </row>
    <row r="50" spans="1:5">
      <c r="A50" s="111"/>
      <c r="B50" s="76"/>
      <c r="D50" s="355"/>
      <c r="E50" s="76"/>
    </row>
    <row r="51" spans="1:5">
      <c r="D51" s="355"/>
    </row>
  </sheetData>
  <printOptions headings="1" gridLines="1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"/>
  <sheetViews>
    <sheetView view="pageBreakPreview" zoomScaleNormal="100" zoomScaleSheetLayoutView="100" workbookViewId="0">
      <selection activeCell="D27" sqref="D27"/>
    </sheetView>
  </sheetViews>
  <sheetFormatPr defaultColWidth="9" defaultRowHeight="15"/>
  <cols>
    <col min="1" max="16384" width="9" style="181"/>
  </cols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Q40"/>
  <sheetViews>
    <sheetView showGridLines="0" zoomScale="175" zoomScaleNormal="130" zoomScaleSheetLayoutView="100" workbookViewId="0">
      <pane xSplit="2" ySplit="3" topLeftCell="E4" activePane="bottomRight" state="frozen"/>
      <selection pane="bottomRight" activeCell="H10" sqref="H10"/>
      <selection pane="bottomLeft" activeCell="A4" sqref="A4"/>
      <selection pane="topRight" activeCell="C1" sqref="C1"/>
    </sheetView>
  </sheetViews>
  <sheetFormatPr defaultColWidth="9" defaultRowHeight="12.75"/>
  <cols>
    <col min="1" max="1" width="2.7109375" style="5" customWidth="1"/>
    <col min="2" max="2" width="37.85546875" style="5" customWidth="1"/>
    <col min="3" max="3" width="3.140625" style="5" customWidth="1"/>
    <col min="4" max="4" width="8.7109375" style="5" customWidth="1"/>
    <col min="5" max="5" width="10.140625" style="5" customWidth="1"/>
    <col min="6" max="6" width="9.7109375" style="5" customWidth="1"/>
    <col min="7" max="7" width="13.7109375" style="5" customWidth="1"/>
    <col min="8" max="8" width="18.140625" style="315" customWidth="1"/>
    <col min="9" max="9" width="13.85546875" style="315" customWidth="1"/>
    <col min="10" max="10" width="10" style="315" customWidth="1"/>
    <col min="11" max="11" width="35.7109375" style="5" customWidth="1"/>
    <col min="12" max="12" width="35.28515625" style="5" customWidth="1"/>
    <col min="13" max="13" width="33.7109375" style="5" customWidth="1"/>
    <col min="14" max="16384" width="9" style="5"/>
  </cols>
  <sheetData>
    <row r="1" spans="2:17">
      <c r="B1" s="138" t="s">
        <v>22</v>
      </c>
      <c r="C1" s="138"/>
      <c r="D1" s="138"/>
      <c r="E1" s="138"/>
      <c r="F1" s="138"/>
      <c r="G1" s="138"/>
      <c r="H1" s="400" t="s">
        <v>22</v>
      </c>
      <c r="K1" s="138"/>
      <c r="L1" s="138"/>
      <c r="M1" s="138"/>
      <c r="N1" s="138"/>
      <c r="O1" s="138"/>
      <c r="P1" s="138"/>
      <c r="Q1" s="138"/>
    </row>
    <row r="2" spans="2:17">
      <c r="B2" s="138" t="s">
        <v>76</v>
      </c>
      <c r="C2" s="138"/>
      <c r="D2" s="13" t="s">
        <v>77</v>
      </c>
      <c r="E2" s="13"/>
      <c r="F2" s="13"/>
      <c r="G2" s="325"/>
      <c r="H2" s="13" t="s">
        <v>78</v>
      </c>
      <c r="I2" s="13"/>
      <c r="J2" s="13"/>
      <c r="K2" s="140"/>
      <c r="L2" s="138"/>
      <c r="M2" s="138"/>
      <c r="N2" s="138"/>
      <c r="O2" s="138"/>
      <c r="P2" s="138"/>
      <c r="Q2" s="138"/>
    </row>
    <row r="3" spans="2:17">
      <c r="B3" s="138"/>
      <c r="C3" s="138"/>
      <c r="D3" s="268">
        <v>2022</v>
      </c>
      <c r="E3" s="268">
        <f>D3+1</f>
        <v>2023</v>
      </c>
      <c r="F3" s="268">
        <f>E3+1</f>
        <v>2024</v>
      </c>
      <c r="G3" s="138"/>
      <c r="H3" s="269">
        <f>F3+1</f>
        <v>2025</v>
      </c>
      <c r="I3" s="269">
        <f>H3+1</f>
        <v>2026</v>
      </c>
      <c r="J3" s="269">
        <f>I3+1</f>
        <v>2027</v>
      </c>
      <c r="K3" s="138" t="s">
        <v>79</v>
      </c>
      <c r="L3" s="138"/>
      <c r="M3" s="138"/>
      <c r="N3" s="138"/>
      <c r="O3" s="138"/>
      <c r="P3" s="138"/>
      <c r="Q3" s="138"/>
    </row>
    <row r="4" spans="2:17" ht="15">
      <c r="B4" s="111" t="s">
        <v>16</v>
      </c>
      <c r="C4" s="111"/>
      <c r="D4" s="168" cm="1">
        <f t="array" ref="D4:F4">'Income Statement'!B4:D4</f>
        <v>80187</v>
      </c>
      <c r="E4" s="168">
        <v>82006</v>
      </c>
      <c r="F4" s="168">
        <v>84039</v>
      </c>
      <c r="G4" s="329" t="s">
        <v>22</v>
      </c>
      <c r="H4" s="100">
        <f>(F$4*(1+H18))</f>
        <v>89081.340000000011</v>
      </c>
      <c r="I4" s="100">
        <f>(H$4*(1+I18))</f>
        <v>94426.22040000002</v>
      </c>
      <c r="J4" s="100">
        <f>(I$4*(1+J18))</f>
        <v>100091.79362400003</v>
      </c>
      <c r="K4" s="156" t="str">
        <f ca="1">_xlfn.FORMULATEXT(H4)</f>
        <v>=(F$4*(1+H18))</v>
      </c>
      <c r="L4" s="28"/>
      <c r="M4" s="138"/>
      <c r="N4" s="138"/>
      <c r="O4" s="138"/>
      <c r="P4" s="138"/>
      <c r="Q4" s="138"/>
    </row>
    <row r="5" spans="2:17" ht="18.75" customHeight="1">
      <c r="B5" s="111" t="s">
        <v>17</v>
      </c>
      <c r="C5" s="111"/>
      <c r="D5" s="168" cm="1">
        <f t="array" ref="D5:F5">'Income Statement'!B5:D5</f>
        <v>42157</v>
      </c>
      <c r="E5" s="168">
        <v>42760</v>
      </c>
      <c r="F5" s="168">
        <v>40848</v>
      </c>
      <c r="G5" s="330"/>
      <c r="H5" s="100">
        <f t="shared" ref="H5:J7" si="0">H$4*H19</f>
        <v>43298.880000000005</v>
      </c>
      <c r="I5" s="100">
        <f t="shared" si="0"/>
        <v>45896.812800000007</v>
      </c>
      <c r="J5" s="100">
        <f t="shared" si="0"/>
        <v>48650.62156800001</v>
      </c>
      <c r="K5" s="156" t="str">
        <f t="shared" ref="K5:K16" ca="1" si="1">_xlfn.FORMULATEXT(H5)</f>
        <v>=H$4*H19</v>
      </c>
      <c r="L5" s="138" t="s">
        <v>22</v>
      </c>
      <c r="M5" s="138"/>
      <c r="N5" s="27"/>
      <c r="O5" s="138"/>
      <c r="P5" s="138"/>
      <c r="Q5" s="138"/>
    </row>
    <row r="6" spans="2:17" ht="18.75" customHeight="1">
      <c r="B6" s="111" t="s">
        <v>18</v>
      </c>
      <c r="C6" s="111"/>
      <c r="D6" s="168" cm="1">
        <f t="array" ref="D6:F6">'Income Statement'!B6:D6</f>
        <v>20217</v>
      </c>
      <c r="E6" s="168">
        <v>21112</v>
      </c>
      <c r="F6" s="168">
        <v>23305</v>
      </c>
      <c r="G6" s="330"/>
      <c r="H6" s="100">
        <f t="shared" si="0"/>
        <v>23365.425680233122</v>
      </c>
      <c r="I6" s="100">
        <f t="shared" si="0"/>
        <v>24767.351221047113</v>
      </c>
      <c r="J6" s="100">
        <f t="shared" si="0"/>
        <v>26253.392294309942</v>
      </c>
      <c r="K6" s="156" t="str">
        <f ca="1">_xlfn.FORMULATEXT(H6)</f>
        <v>=H$4*H20</v>
      </c>
      <c r="L6" s="138" t="s">
        <v>22</v>
      </c>
      <c r="M6" s="138"/>
      <c r="N6" s="27"/>
      <c r="O6" s="138"/>
      <c r="P6" s="138"/>
      <c r="Q6" s="138"/>
    </row>
    <row r="7" spans="2:17" ht="18.75" customHeight="1">
      <c r="B7" s="111" t="s">
        <v>19</v>
      </c>
      <c r="C7" s="111"/>
      <c r="D7" s="357" cm="1">
        <f t="array" ref="D7:F7">'Income Statement'!B7:D7</f>
        <v>0</v>
      </c>
      <c r="E7" s="357">
        <v>0</v>
      </c>
      <c r="F7" s="357">
        <v>1341</v>
      </c>
      <c r="G7" s="301"/>
      <c r="H7" s="100">
        <f t="shared" si="0"/>
        <v>0</v>
      </c>
      <c r="I7" s="100">
        <f t="shared" si="0"/>
        <v>0</v>
      </c>
      <c r="J7" s="100">
        <f t="shared" si="0"/>
        <v>0</v>
      </c>
      <c r="K7" s="156" t="str">
        <f t="shared" ca="1" si="1"/>
        <v>=H$4*H21</v>
      </c>
      <c r="L7" s="28"/>
      <c r="M7" s="138"/>
      <c r="N7" s="138"/>
      <c r="O7" s="138"/>
      <c r="P7" s="138"/>
      <c r="Q7" s="138"/>
    </row>
    <row r="8" spans="2:17" ht="15.75" thickBot="1">
      <c r="B8" s="111" t="s">
        <v>20</v>
      </c>
      <c r="C8" s="111"/>
      <c r="D8" s="168">
        <f>D4-D5-D6</f>
        <v>17813</v>
      </c>
      <c r="E8" s="168">
        <f t="shared" ref="E8" si="2">E4-E5-E6</f>
        <v>18134</v>
      </c>
      <c r="F8" s="168">
        <f>F4-F5-F6-F7</f>
        <v>18545</v>
      </c>
      <c r="G8" s="330"/>
      <c r="H8" s="100">
        <f>H4-H5-H6-H7</f>
        <v>22417.034319766884</v>
      </c>
      <c r="I8" s="100">
        <f>I4-I5-I6-I7</f>
        <v>23762.056378952901</v>
      </c>
      <c r="J8" s="100">
        <f>J4-J5-J6-J7</f>
        <v>25187.779761690075</v>
      </c>
      <c r="K8" s="156" t="str">
        <f t="shared" ca="1" si="1"/>
        <v>=H4-H5-H6-H7</v>
      </c>
      <c r="L8" s="28"/>
      <c r="M8" s="138"/>
      <c r="N8" s="138"/>
      <c r="O8" s="138"/>
      <c r="P8" s="138"/>
      <c r="Q8" s="138"/>
    </row>
    <row r="9" spans="2:17" ht="39">
      <c r="B9" s="316" t="s">
        <v>80</v>
      </c>
      <c r="C9" s="316"/>
      <c r="D9" s="169">
        <f>'Income Statement'!B9+'Income Statement'!B10</f>
        <v>-388</v>
      </c>
      <c r="E9" s="169">
        <f>'Income Statement'!C9+'Income Statement'!C10</f>
        <v>-449</v>
      </c>
      <c r="F9" s="169">
        <f>'Income Statement'!D9+'Income Statement'!D10</f>
        <v>-452</v>
      </c>
      <c r="G9" s="330"/>
      <c r="H9" s="263">
        <f ca="1">-H23*('BAL Hist Forecast'!H19+'BAL Hist Forecast'!H21)+'IS Hist Forecast'!H28*'BAL Hist Forecast'!H4</f>
        <v>-468.34078696415895</v>
      </c>
      <c r="I9" s="263">
        <f ca="1">-I23*('BAL Hist Forecast'!I19+'BAL Hist Forecast'!I21)+'IS Hist Forecast'!I28*'BAL Hist Forecast'!I4</f>
        <v>-392.51857823663022</v>
      </c>
      <c r="J9" s="263">
        <f ca="1">-J23*('BAL Hist Forecast'!J19+'BAL Hist Forecast'!J21)+'IS Hist Forecast'!J28*'BAL Hist Forecast'!J4</f>
        <v>-289.60073503095123</v>
      </c>
      <c r="K9" s="287" t="str">
        <f t="shared" ca="1" si="1"/>
        <v>=-H23*('BAL Hist Forecast'!H19+'BAL Hist Forecast'!H21)+'IS Hist Forecast'!H28*'BAL Hist Forecast'!H4</v>
      </c>
      <c r="L9" s="264" t="s">
        <v>81</v>
      </c>
      <c r="M9" s="184"/>
      <c r="N9" s="185"/>
      <c r="O9" s="138"/>
      <c r="P9" s="138"/>
      <c r="Q9" s="138"/>
    </row>
    <row r="10" spans="2:17" ht="14.25" customHeight="1" thickBot="1">
      <c r="B10" s="111" t="s">
        <v>24</v>
      </c>
      <c r="C10" s="111"/>
      <c r="D10" s="170" cm="1">
        <f t="array" ref="D10:F10">'Income Statement'!B11:D11</f>
        <v>570</v>
      </c>
      <c r="E10" s="170">
        <v>668</v>
      </c>
      <c r="F10" s="170">
        <v>668</v>
      </c>
      <c r="G10" s="330"/>
      <c r="H10" s="246">
        <f>H4*H22</f>
        <v>688.97943466422169</v>
      </c>
      <c r="I10" s="246">
        <f>I4*I22</f>
        <v>730.31820074407506</v>
      </c>
      <c r="J10" s="246">
        <f>J4*J22</f>
        <v>774.13729278871961</v>
      </c>
      <c r="K10" s="156" t="str">
        <f t="shared" ca="1" si="1"/>
        <v>=H4*H22</v>
      </c>
      <c r="L10" s="265" t="s">
        <v>82</v>
      </c>
      <c r="M10" s="187"/>
      <c r="N10" s="188"/>
      <c r="O10" s="138"/>
      <c r="P10" s="138"/>
      <c r="Q10" s="138"/>
    </row>
    <row r="11" spans="2:17" ht="15.75" customHeight="1">
      <c r="B11" s="111" t="s">
        <v>25</v>
      </c>
      <c r="C11" s="111"/>
      <c r="D11" s="168">
        <f>SUM(D8:D10)</f>
        <v>17995</v>
      </c>
      <c r="E11" s="168">
        <f>SUM(E8:E10)</f>
        <v>18353</v>
      </c>
      <c r="F11" s="168">
        <f t="shared" ref="F11" si="3">SUM(F8:F10)</f>
        <v>18761</v>
      </c>
      <c r="G11" s="330"/>
      <c r="H11" s="100">
        <f ca="1">H8+H9+H10</f>
        <v>22637.672967466948</v>
      </c>
      <c r="I11" s="100">
        <f t="shared" ref="I11:J11" ca="1" si="4">I8+I9+I10</f>
        <v>24099.856001460343</v>
      </c>
      <c r="J11" s="100">
        <f t="shared" ca="1" si="4"/>
        <v>25672.316319447844</v>
      </c>
      <c r="K11" s="156" t="str">
        <f t="shared" ca="1" si="1"/>
        <v>=H8+H9+H10</v>
      </c>
      <c r="L11" s="28"/>
      <c r="M11" s="138"/>
      <c r="N11" s="138"/>
      <c r="O11" s="138"/>
      <c r="P11" s="138"/>
      <c r="Q11" s="27"/>
    </row>
    <row r="12" spans="2:17" ht="15" customHeight="1">
      <c r="B12" s="111" t="s">
        <v>26</v>
      </c>
      <c r="C12" s="111"/>
      <c r="D12" s="170" cm="1">
        <f t="array" ref="D12:F12">'Income Statement'!B13:D13</f>
        <v>3202</v>
      </c>
      <c r="E12" s="170">
        <v>3615</v>
      </c>
      <c r="F12" s="170">
        <v>3787</v>
      </c>
      <c r="G12" s="330"/>
      <c r="H12" s="135">
        <f ca="1">H11*H24</f>
        <v>4527.5345934933894</v>
      </c>
      <c r="I12" s="135">
        <f t="shared" ref="I12:J12" ca="1" si="5">I11*I24</f>
        <v>4819.9712002920687</v>
      </c>
      <c r="J12" s="135">
        <f t="shared" ca="1" si="5"/>
        <v>5134.4632638895691</v>
      </c>
      <c r="K12" s="156" t="str">
        <f t="shared" ca="1" si="1"/>
        <v>=H11*H24</v>
      </c>
      <c r="L12" s="28"/>
      <c r="M12" s="138"/>
      <c r="N12" s="138"/>
      <c r="O12" s="138"/>
      <c r="P12" s="138"/>
      <c r="Q12" s="138"/>
    </row>
    <row r="13" spans="2:17" ht="15.75" thickBot="1">
      <c r="B13" s="111" t="s">
        <v>27</v>
      </c>
      <c r="C13" s="111"/>
      <c r="D13" s="168">
        <f>D11-D12</f>
        <v>14793</v>
      </c>
      <c r="E13" s="168">
        <f t="shared" ref="E13:F13" si="6">E11-E12</f>
        <v>14738</v>
      </c>
      <c r="F13" s="168">
        <f t="shared" si="6"/>
        <v>14974</v>
      </c>
      <c r="G13" s="330"/>
      <c r="H13" s="100">
        <f ca="1">H11-H12</f>
        <v>18110.138373973557</v>
      </c>
      <c r="I13" s="100">
        <f t="shared" ref="I13:J13" ca="1" si="7">I11-I12</f>
        <v>19279.884801168275</v>
      </c>
      <c r="J13" s="100">
        <f t="shared" ca="1" si="7"/>
        <v>20537.853055558277</v>
      </c>
      <c r="K13" s="156" t="str">
        <f t="shared" ca="1" si="1"/>
        <v>=H11-H12</v>
      </c>
      <c r="L13" s="28"/>
      <c r="M13" s="138"/>
      <c r="N13" s="138"/>
      <c r="O13" s="138"/>
      <c r="P13" s="138"/>
      <c r="Q13" s="138"/>
    </row>
    <row r="14" spans="2:17" ht="16.5" customHeight="1" thickBot="1">
      <c r="B14" s="111" t="s">
        <v>28</v>
      </c>
      <c r="C14" s="111"/>
      <c r="D14" s="170" cm="1">
        <f t="array" ref="D14:F14">'Income Statement'!B15:D15</f>
        <v>51</v>
      </c>
      <c r="E14" s="170">
        <v>85</v>
      </c>
      <c r="F14" s="170">
        <v>95</v>
      </c>
      <c r="G14" s="330"/>
      <c r="H14" s="156"/>
      <c r="I14" s="156"/>
      <c r="J14" s="156"/>
      <c r="K14" s="156"/>
      <c r="L14" s="182" t="s">
        <v>83</v>
      </c>
      <c r="M14" s="270"/>
      <c r="N14" s="138"/>
      <c r="O14" s="138"/>
      <c r="P14" s="138"/>
      <c r="Q14" s="138"/>
    </row>
    <row r="15" spans="2:17" ht="21.75" customHeight="1">
      <c r="B15" s="111" t="s">
        <v>29</v>
      </c>
      <c r="C15" s="111"/>
      <c r="D15" s="168">
        <f>D13-D14</f>
        <v>14742</v>
      </c>
      <c r="E15" s="168">
        <f t="shared" ref="E15:F15" si="8">E13-E14</f>
        <v>14653</v>
      </c>
      <c r="F15" s="168">
        <f t="shared" si="8"/>
        <v>14879</v>
      </c>
      <c r="G15" s="330"/>
      <c r="H15" s="100">
        <f ca="1">H13</f>
        <v>18110.138373973557</v>
      </c>
      <c r="I15" s="100">
        <f t="shared" ref="I15:J15" ca="1" si="9">I13</f>
        <v>19279.884801168275</v>
      </c>
      <c r="J15" s="100">
        <f t="shared" ca="1" si="9"/>
        <v>20537.853055558277</v>
      </c>
      <c r="K15" s="156" t="str">
        <f t="shared" ca="1" si="1"/>
        <v>=H13</v>
      </c>
      <c r="L15" s="156"/>
      <c r="M15" s="156"/>
      <c r="N15" s="156"/>
      <c r="O15" s="138"/>
      <c r="P15" s="138"/>
      <c r="Q15" s="138"/>
    </row>
    <row r="16" spans="2:17" ht="15">
      <c r="B16" s="138" t="s">
        <v>84</v>
      </c>
      <c r="C16" s="138"/>
      <c r="D16" s="191" cm="1">
        <f t="array" ref="D16:F16">'Income Statement'!B21:D21</f>
        <v>8770</v>
      </c>
      <c r="E16" s="191">
        <v>8999</v>
      </c>
      <c r="F16" s="191">
        <v>9312</v>
      </c>
      <c r="G16" s="329"/>
      <c r="H16" s="100">
        <f ca="1">IF(H27=1,H26,H15*H25)</f>
        <v>9312</v>
      </c>
      <c r="I16" s="100">
        <f t="shared" ref="I16:J16" ca="1" si="10">IF(I27=1,I26,I15*I25)</f>
        <v>9312</v>
      </c>
      <c r="J16" s="100">
        <f t="shared" ca="1" si="10"/>
        <v>9312</v>
      </c>
      <c r="K16" s="156" t="str">
        <f t="shared" ca="1" si="1"/>
        <v>=IF(H27=1,H26,H15*H25)</v>
      </c>
      <c r="L16" s="28"/>
      <c r="M16" s="28"/>
      <c r="N16" s="28"/>
      <c r="O16" s="28"/>
      <c r="P16" s="28"/>
      <c r="Q16" s="28"/>
    </row>
    <row r="17" spans="2:17" ht="15">
      <c r="B17" s="138"/>
      <c r="C17" s="138"/>
      <c r="D17" s="138"/>
      <c r="E17" s="138"/>
      <c r="F17" s="138"/>
      <c r="G17" s="331"/>
      <c r="H17" s="399" t="s">
        <v>22</v>
      </c>
      <c r="I17" s="393"/>
      <c r="J17" s="138" t="s">
        <v>22</v>
      </c>
      <c r="K17" s="145"/>
      <c r="L17" s="28"/>
      <c r="M17" s="28"/>
      <c r="N17" s="28"/>
      <c r="O17" s="28"/>
      <c r="P17" s="28"/>
      <c r="Q17" s="28"/>
    </row>
    <row r="18" spans="2:17" ht="15">
      <c r="B18" s="138" t="s">
        <v>85</v>
      </c>
      <c r="C18" s="138"/>
      <c r="D18" s="192"/>
      <c r="E18" s="193">
        <f>(E4-D4)/D$4</f>
        <v>2.2684475039594948E-2</v>
      </c>
      <c r="F18" s="193">
        <f>(F4-E4)/E$4</f>
        <v>2.4790868960807746E-2</v>
      </c>
      <c r="G18" s="331"/>
      <c r="H18" s="378">
        <v>0.06</v>
      </c>
      <c r="I18" s="378">
        <v>0.06</v>
      </c>
      <c r="J18" s="378">
        <v>0.06</v>
      </c>
      <c r="K18" s="145"/>
      <c r="L18" s="28"/>
      <c r="M18" s="28"/>
      <c r="N18" s="28"/>
      <c r="O18" s="28"/>
      <c r="P18" s="28"/>
      <c r="Q18" s="28"/>
    </row>
    <row r="19" spans="2:17" ht="15">
      <c r="B19" s="138" t="s">
        <v>86</v>
      </c>
      <c r="C19" s="138"/>
      <c r="D19" s="193">
        <f>D5/D$4</f>
        <v>0.52573359771534034</v>
      </c>
      <c r="E19" s="193">
        <f t="shared" ref="E19:F19" si="11">E5/E$4</f>
        <v>0.52142526156622682</v>
      </c>
      <c r="F19" s="193">
        <f t="shared" si="11"/>
        <v>0.48606004355120835</v>
      </c>
      <c r="G19" s="332"/>
      <c r="H19" s="377">
        <f>$F$19</f>
        <v>0.48606004355120835</v>
      </c>
      <c r="I19" s="377">
        <f t="shared" ref="I19:J19" si="12">$F$19</f>
        <v>0.48606004355120835</v>
      </c>
      <c r="J19" s="377">
        <f t="shared" si="12"/>
        <v>0.48606004355120835</v>
      </c>
      <c r="K19" s="145"/>
      <c r="L19" s="395" t="s">
        <v>87</v>
      </c>
      <c r="M19" s="138"/>
      <c r="N19" s="138"/>
      <c r="O19" s="138"/>
      <c r="P19" s="138"/>
      <c r="Q19" s="138"/>
    </row>
    <row r="20" spans="2:17" ht="15">
      <c r="B20" s="138" t="s">
        <v>88</v>
      </c>
      <c r="C20" s="138"/>
      <c r="D20" s="193">
        <f>D6/D$4</f>
        <v>0.25212316210857122</v>
      </c>
      <c r="E20" s="193">
        <f t="shared" ref="E20:F20" si="13">E6/E$4</f>
        <v>0.25744457722605663</v>
      </c>
      <c r="F20" s="193">
        <f t="shared" si="13"/>
        <v>0.27731172431847118</v>
      </c>
      <c r="G20" s="331"/>
      <c r="H20" s="317">
        <f>AVERAGE($D$20:$F$20)</f>
        <v>0.26229315455103303</v>
      </c>
      <c r="I20" s="317">
        <f>AVERAGE($D$20:$F$20)</f>
        <v>0.26229315455103303</v>
      </c>
      <c r="J20" s="317">
        <f>AVERAGE($D$20:$F$20)</f>
        <v>0.26229315455103303</v>
      </c>
      <c r="K20" s="145"/>
      <c r="L20" s="138" t="s">
        <v>22</v>
      </c>
      <c r="M20" s="138"/>
      <c r="N20" s="138"/>
      <c r="O20" s="138"/>
      <c r="P20" s="138"/>
      <c r="Q20" s="138"/>
    </row>
    <row r="21" spans="2:17" ht="15">
      <c r="B21" s="138" t="s">
        <v>89</v>
      </c>
      <c r="C21" s="138"/>
      <c r="D21" s="193">
        <f>D7/D$4</f>
        <v>0</v>
      </c>
      <c r="E21" s="193">
        <f t="shared" ref="E21:F21" si="14">E7/E$4</f>
        <v>0</v>
      </c>
      <c r="F21" s="193">
        <f t="shared" si="14"/>
        <v>1.5956877164173777E-2</v>
      </c>
      <c r="G21" s="329"/>
      <c r="H21" s="378">
        <v>0</v>
      </c>
      <c r="I21" s="378">
        <v>0</v>
      </c>
      <c r="J21" s="378">
        <v>0</v>
      </c>
      <c r="K21" s="145"/>
      <c r="L21" s="395" t="s">
        <v>90</v>
      </c>
      <c r="M21" s="138"/>
      <c r="N21" s="138"/>
      <c r="O21" s="138"/>
      <c r="P21" s="138"/>
      <c r="Q21" s="138"/>
    </row>
    <row r="22" spans="2:17" ht="15.75" thickBot="1">
      <c r="B22" s="138" t="s">
        <v>91</v>
      </c>
      <c r="C22" s="138"/>
      <c r="D22" s="193">
        <f>D10/D$4</f>
        <v>7.1083841520445954E-3</v>
      </c>
      <c r="E22" s="193">
        <f t="shared" ref="E22:F22" si="15">E10/E$4</f>
        <v>8.1457454332609803E-3</v>
      </c>
      <c r="F22" s="193">
        <f t="shared" si="15"/>
        <v>7.9486904889396592E-3</v>
      </c>
      <c r="G22" s="301"/>
      <c r="H22" s="317">
        <f>AVERAGE($D$22:$F$22)</f>
        <v>7.7342733580817447E-3</v>
      </c>
      <c r="I22" s="317">
        <f>AVERAGE($D$22:$F$22)</f>
        <v>7.7342733580817447E-3</v>
      </c>
      <c r="J22" s="317">
        <f>AVERAGE($D$22:$F$22)</f>
        <v>7.7342733580817447E-3</v>
      </c>
      <c r="K22" s="145"/>
      <c r="L22" s="28"/>
      <c r="M22" s="138"/>
      <c r="N22" s="138"/>
      <c r="O22" s="138"/>
      <c r="P22" s="138"/>
      <c r="Q22" s="138"/>
    </row>
    <row r="23" spans="2:17" ht="15.75" thickBot="1">
      <c r="B23" s="138" t="s">
        <v>92</v>
      </c>
      <c r="C23" s="138"/>
      <c r="D23" s="440"/>
      <c r="E23" s="441"/>
      <c r="F23" s="442"/>
      <c r="G23" s="301"/>
      <c r="H23" s="358">
        <v>2.5000000000000001E-2</v>
      </c>
      <c r="I23" s="358">
        <v>2.5000000000000001E-2</v>
      </c>
      <c r="J23" s="358">
        <v>2.5000000000000001E-2</v>
      </c>
      <c r="K23" s="145"/>
      <c r="L23" s="28"/>
      <c r="M23" s="138"/>
      <c r="N23" s="138"/>
      <c r="O23" s="138"/>
      <c r="P23" s="138"/>
      <c r="Q23" s="138"/>
    </row>
    <row r="24" spans="2:17" ht="15">
      <c r="B24" s="138" t="s">
        <v>93</v>
      </c>
      <c r="C24" s="138"/>
      <c r="D24" s="193">
        <f>D12/D11</f>
        <v>0.17793831619894415</v>
      </c>
      <c r="E24" s="193">
        <f t="shared" ref="E24:F24" si="16">E12/E11</f>
        <v>0.1969705225303765</v>
      </c>
      <c r="F24" s="193">
        <f t="shared" si="16"/>
        <v>0.20185491178508608</v>
      </c>
      <c r="G24" s="301"/>
      <c r="H24" s="358">
        <v>0.2</v>
      </c>
      <c r="I24" s="358">
        <v>0.2</v>
      </c>
      <c r="J24" s="358">
        <v>0.2</v>
      </c>
      <c r="K24" s="145"/>
      <c r="L24" s="28"/>
      <c r="M24" s="138"/>
      <c r="N24" s="138"/>
      <c r="O24" s="138"/>
      <c r="P24" s="138"/>
      <c r="Q24" s="138"/>
    </row>
    <row r="25" spans="2:17" ht="15.75" thickBot="1">
      <c r="B25" s="138" t="s">
        <v>94</v>
      </c>
      <c r="C25" s="138"/>
      <c r="D25" s="193">
        <f>D16/D15</f>
        <v>0.59489892823226154</v>
      </c>
      <c r="E25" s="193">
        <f t="shared" ref="E25:F25" si="17">E16/E15</f>
        <v>0.61414044905480103</v>
      </c>
      <c r="F25" s="193">
        <f t="shared" si="17"/>
        <v>0.62584851132468577</v>
      </c>
      <c r="G25" s="301"/>
      <c r="H25" s="358">
        <f>$F$25</f>
        <v>0.62584851132468577</v>
      </c>
      <c r="I25" s="358">
        <f t="shared" ref="I25:J25" si="18">$F$25</f>
        <v>0.62584851132468577</v>
      </c>
      <c r="J25" s="358">
        <f t="shared" si="18"/>
        <v>0.62584851132468577</v>
      </c>
      <c r="K25" s="145"/>
      <c r="L25" s="28"/>
      <c r="M25" s="138"/>
      <c r="N25" s="138"/>
      <c r="O25" s="138"/>
      <c r="P25" s="138"/>
      <c r="Q25" s="138"/>
    </row>
    <row r="26" spans="2:17" ht="15">
      <c r="B26" s="138" t="s">
        <v>95</v>
      </c>
      <c r="C26" s="138"/>
      <c r="D26" s="257" cm="1">
        <f t="array" ref="D26:F26">'Income Statement'!B21:D21</f>
        <v>8770</v>
      </c>
      <c r="E26" s="257">
        <v>8999</v>
      </c>
      <c r="F26" s="257">
        <v>9312</v>
      </c>
      <c r="G26" s="301"/>
      <c r="H26" s="419">
        <v>9312</v>
      </c>
      <c r="I26" s="419">
        <v>9312</v>
      </c>
      <c r="J26" s="419">
        <v>9312</v>
      </c>
      <c r="K26" s="98"/>
      <c r="L26" s="183" t="s">
        <v>96</v>
      </c>
      <c r="M26" s="184"/>
      <c r="N26" s="184"/>
      <c r="O26" s="184"/>
      <c r="P26" s="185"/>
      <c r="Q26" s="138"/>
    </row>
    <row r="27" spans="2:17" ht="13.5" thickBot="1">
      <c r="B27" s="138" t="s">
        <v>97</v>
      </c>
      <c r="C27" s="138"/>
      <c r="D27" s="138"/>
      <c r="E27" s="138"/>
      <c r="F27" s="138"/>
      <c r="G27" s="138"/>
      <c r="H27" s="430">
        <v>1</v>
      </c>
      <c r="I27" s="430">
        <v>1</v>
      </c>
      <c r="J27" s="430">
        <v>1</v>
      </c>
      <c r="K27" s="98"/>
      <c r="L27" s="186" t="s">
        <v>96</v>
      </c>
      <c r="M27" s="187"/>
      <c r="N27" s="187"/>
      <c r="O27" s="187"/>
      <c r="P27" s="188"/>
      <c r="Q27" s="138"/>
    </row>
    <row r="28" spans="2:17">
      <c r="B28" s="138" t="s">
        <v>98</v>
      </c>
      <c r="C28" s="138"/>
      <c r="D28" s="138"/>
      <c r="E28" s="138"/>
      <c r="F28" s="138"/>
      <c r="G28" s="138"/>
      <c r="H28" s="403">
        <v>0.03</v>
      </c>
      <c r="I28" s="403">
        <v>0.03</v>
      </c>
      <c r="J28" s="403">
        <v>0.03</v>
      </c>
      <c r="K28" s="138"/>
      <c r="L28" s="138"/>
      <c r="M28" s="138"/>
      <c r="N28" s="138"/>
      <c r="O28" s="138"/>
      <c r="P28" s="138"/>
      <c r="Q28" s="138"/>
    </row>
    <row r="29" spans="2:17"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</row>
    <row r="30" spans="2:17"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</row>
    <row r="31" spans="2:17"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</row>
    <row r="32" spans="2:17"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</row>
    <row r="33" spans="2:12"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2:12"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</row>
    <row r="35" spans="2:12"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</row>
    <row r="36" spans="2:12"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</row>
    <row r="37" spans="2:12"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  <row r="38" spans="2:12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  <row r="39" spans="2:12"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</row>
    <row r="40" spans="2:12"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</row>
  </sheetData>
  <mergeCells count="1">
    <mergeCell ref="D23:F23"/>
  </mergeCells>
  <printOptions headings="1" gridLines="1"/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2:J38"/>
  <sheetViews>
    <sheetView showGridLines="0" zoomScale="175" zoomScaleNormal="175" zoomScaleSheetLayoutView="100" workbookViewId="0">
      <selection activeCell="F30" sqref="F30"/>
    </sheetView>
  </sheetViews>
  <sheetFormatPr defaultColWidth="9" defaultRowHeight="12.75"/>
  <cols>
    <col min="1" max="1" width="2.7109375" style="5" customWidth="1"/>
    <col min="2" max="2" width="43.7109375" style="5" customWidth="1"/>
    <col min="3" max="3" width="10.28515625" style="5" customWidth="1"/>
    <col min="4" max="4" width="9" style="5" customWidth="1"/>
    <col min="5" max="5" width="9.140625" style="5" customWidth="1"/>
    <col min="6" max="6" width="9.85546875" style="5" customWidth="1"/>
    <col min="7" max="7" width="2.7109375" style="5" customWidth="1"/>
    <col min="8" max="8" width="34.140625" style="5" customWidth="1"/>
    <col min="9" max="16384" width="9" style="5"/>
  </cols>
  <sheetData>
    <row r="2" spans="2:8" ht="25.5">
      <c r="B2" s="12" t="s">
        <v>99</v>
      </c>
      <c r="C2" s="12"/>
      <c r="D2" s="271" t="s">
        <v>78</v>
      </c>
      <c r="E2" s="271"/>
      <c r="F2" s="271"/>
      <c r="G2" s="138"/>
      <c r="H2" s="138"/>
    </row>
    <row r="3" spans="2:8">
      <c r="B3" s="12" t="s">
        <v>100</v>
      </c>
      <c r="C3" s="12"/>
      <c r="D3" s="269">
        <v>2025</v>
      </c>
      <c r="E3" s="269">
        <f>D3+1</f>
        <v>2026</v>
      </c>
      <c r="F3" s="269">
        <f>E3+1</f>
        <v>2027</v>
      </c>
      <c r="G3" s="138"/>
      <c r="H3" s="138"/>
    </row>
    <row r="4" spans="2:8">
      <c r="B4" s="12"/>
      <c r="C4" s="12"/>
      <c r="D4" s="138"/>
      <c r="E4" s="138"/>
      <c r="F4" s="138"/>
      <c r="G4" s="138"/>
      <c r="H4" s="138"/>
    </row>
    <row r="5" spans="2:8">
      <c r="B5" s="98" t="s">
        <v>101</v>
      </c>
      <c r="C5" s="98"/>
      <c r="D5" s="28" t="s">
        <v>22</v>
      </c>
      <c r="E5" s="138"/>
      <c r="F5" s="138"/>
      <c r="G5" s="138"/>
      <c r="H5" s="138"/>
    </row>
    <row r="6" spans="2:8">
      <c r="B6" s="138" t="s">
        <v>102</v>
      </c>
      <c r="C6" s="138"/>
      <c r="D6" s="100">
        <f ca="1">'IS Hist Forecast'!H13</f>
        <v>18110.138373973557</v>
      </c>
      <c r="E6" s="100">
        <f ca="1">'IS Hist Forecast'!I13</f>
        <v>19279.884801168275</v>
      </c>
      <c r="F6" s="100">
        <f ca="1">'IS Hist Forecast'!J13</f>
        <v>20537.853055558277</v>
      </c>
      <c r="G6" s="138"/>
      <c r="H6" s="138"/>
    </row>
    <row r="7" spans="2:8" ht="14.25" customHeight="1">
      <c r="B7" s="138" t="s">
        <v>103</v>
      </c>
      <c r="C7" s="138"/>
      <c r="D7" s="156"/>
      <c r="E7" s="156"/>
      <c r="F7" s="156"/>
      <c r="G7" s="138"/>
      <c r="H7" s="138"/>
    </row>
    <row r="8" spans="2:8">
      <c r="B8" s="138" t="s">
        <v>104</v>
      </c>
      <c r="C8" s="138"/>
      <c r="D8" s="100">
        <f>'BAL Hist Forecast'!H22 - 'BAL Hist Forecast'!F22</f>
        <v>653.37502361707266</v>
      </c>
      <c r="E8" s="100">
        <f>'BAL Hist Forecast'!I22 - 'BAL Hist Forecast'!H22</f>
        <v>430.16250141702494</v>
      </c>
      <c r="F8" s="100">
        <f>'BAL Hist Forecast'!J22 - 'BAL Hist Forecast'!I22</f>
        <v>455.97225150204576</v>
      </c>
      <c r="G8" s="138"/>
      <c r="H8" s="63"/>
    </row>
    <row r="9" spans="2:8">
      <c r="B9" s="138" t="s">
        <v>105</v>
      </c>
      <c r="C9" s="138"/>
      <c r="D9" s="100">
        <f>'BAL Hist Forecast'!H23 - 'BAL Hist Forecast'!F23</f>
        <v>1272.5696929136893</v>
      </c>
      <c r="E9" s="100">
        <f>'BAL Hist Forecast'!I23 - 'BAL Hist Forecast'!H23</f>
        <v>460.23418157482138</v>
      </c>
      <c r="F9" s="100">
        <f>'BAL Hist Forecast'!J23 - 'BAL Hist Forecast'!I23</f>
        <v>487.84823246931228</v>
      </c>
      <c r="G9" s="138"/>
      <c r="H9" s="63"/>
    </row>
    <row r="10" spans="2:8">
      <c r="B10" s="138" t="s">
        <v>106</v>
      </c>
      <c r="C10" s="138" t="s">
        <v>22</v>
      </c>
      <c r="D10" s="100">
        <f>-('BAL Hist Forecast'!H5 - 'BAL Hist Forecast'!F5)</f>
        <v>70.809958703668599</v>
      </c>
      <c r="E10" s="100">
        <f>-('BAL Hist Forecast'!I5 - 'BAL Hist Forecast'!H5)</f>
        <v>-362.8314024777801</v>
      </c>
      <c r="F10" s="100">
        <f>-('BAL Hist Forecast'!J5 - 'BAL Hist Forecast'!I5)</f>
        <v>-384.60128662644729</v>
      </c>
      <c r="G10" s="28"/>
      <c r="H10" s="138" t="s">
        <v>22</v>
      </c>
    </row>
    <row r="11" spans="2:8">
      <c r="B11" s="138" t="s">
        <v>107</v>
      </c>
      <c r="C11" s="138" t="s">
        <v>22</v>
      </c>
      <c r="D11" s="100">
        <f>-('BAL Hist Forecast'!H10 - 'BAL Hist Forecast'!F10)</f>
        <v>-220.88100408242099</v>
      </c>
      <c r="E11" s="100">
        <f>-('BAL Hist Forecast'!I10 - 'BAL Hist Forecast'!H10)</f>
        <v>-434.21286024494566</v>
      </c>
      <c r="F11" s="100">
        <f>-('BAL Hist Forecast'!J10 - 'BAL Hist Forecast'!I10)</f>
        <v>-460.26563185964278</v>
      </c>
      <c r="G11" s="138"/>
      <c r="H11" s="138"/>
    </row>
    <row r="12" spans="2:8">
      <c r="B12" s="138" t="s">
        <v>108</v>
      </c>
      <c r="C12" s="138" t="s">
        <v>22</v>
      </c>
      <c r="D12" s="100">
        <f>-('BAL Hist Forecast'!H11 - 'BAL Hist Forecast'!F11)</f>
        <v>-197.01576675199613</v>
      </c>
      <c r="E12" s="100">
        <f>-('BAL Hist Forecast'!I11 - 'BAL Hist Forecast'!H11)</f>
        <v>-137.46094600512015</v>
      </c>
      <c r="F12" s="100">
        <f>-('BAL Hist Forecast'!J11 - 'BAL Hist Forecast'!I11)</f>
        <v>-145.7086027654268</v>
      </c>
      <c r="G12" s="138"/>
      <c r="H12" s="138"/>
    </row>
    <row r="13" spans="2:8">
      <c r="B13" s="138" t="s">
        <v>109</v>
      </c>
      <c r="C13" s="138"/>
      <c r="D13" s="100">
        <f>'BAL Hist Forecast'!H17 - 'BAL Hist Forecast'!F17 + 'BAL Hist Forecast'!H18 - 'BAL Hist Forecast'!F18</f>
        <v>421.00494539697866</v>
      </c>
      <c r="E13" s="100">
        <f>'BAL Hist Forecast'!I17 - 'BAL Hist Forecast'!H17 + 'BAL Hist Forecast'!I18 - 'BAL Hist Forecast'!H18</f>
        <v>1611.5402967238224</v>
      </c>
      <c r="F13" s="100">
        <f>'BAL Hist Forecast'!J17 - 'BAL Hist Forecast'!I17 + 'BAL Hist Forecast'!J18 - 'BAL Hist Forecast'!I18</f>
        <v>1708.2327145272502</v>
      </c>
      <c r="G13" s="138"/>
      <c r="H13" s="138"/>
    </row>
    <row r="14" spans="2:8" ht="15">
      <c r="B14" s="138" t="s">
        <v>110</v>
      </c>
      <c r="C14" s="138"/>
      <c r="D14" s="102">
        <f>'BAL Hist Forecast'!H28 - 'BAL Hist Forecast'!F28</f>
        <v>65</v>
      </c>
      <c r="E14" s="102">
        <f>'BAL Hist Forecast'!I28 - 'BAL Hist Forecast'!H28</f>
        <v>65</v>
      </c>
      <c r="F14" s="102">
        <f>'BAL Hist Forecast'!J28 - 'BAL Hist Forecast'!I28</f>
        <v>65</v>
      </c>
      <c r="G14" s="138"/>
      <c r="H14" s="138"/>
    </row>
    <row r="15" spans="2:8">
      <c r="B15" s="140" t="s">
        <v>111</v>
      </c>
      <c r="C15" s="140"/>
      <c r="D15" s="100">
        <f ca="1">SUM(D6:D14)</f>
        <v>20175.001223770552</v>
      </c>
      <c r="E15" s="100">
        <f t="shared" ref="E15:F15" ca="1" si="0">SUM(E6:E14)</f>
        <v>20912.316572156098</v>
      </c>
      <c r="F15" s="100">
        <f t="shared" ca="1" si="0"/>
        <v>22264.330732805371</v>
      </c>
      <c r="G15" s="138"/>
      <c r="H15" s="138"/>
    </row>
    <row r="16" spans="2:8">
      <c r="B16" s="138"/>
      <c r="C16" s="138"/>
      <c r="D16" s="156"/>
      <c r="E16" s="156"/>
      <c r="F16" s="156"/>
      <c r="G16" s="138"/>
      <c r="H16" s="138"/>
    </row>
    <row r="17" spans="2:10" ht="14.45" customHeight="1">
      <c r="B17" s="98" t="s">
        <v>112</v>
      </c>
      <c r="C17" s="98"/>
      <c r="D17" s="156"/>
      <c r="E17" s="156"/>
      <c r="F17" s="156"/>
      <c r="G17" s="138"/>
      <c r="H17" s="138"/>
      <c r="I17" s="138"/>
      <c r="J17" s="138"/>
    </row>
    <row r="18" spans="2:10" ht="49.5" customHeight="1">
      <c r="B18" s="138" t="s">
        <v>113</v>
      </c>
      <c r="C18" s="138" t="s">
        <v>22</v>
      </c>
      <c r="D18" s="135">
        <f ca="1">-('BAL Hist Forecast'!H13-'BAL Hist Forecast'!F13+'BAL Hist Forecast'!H14-'BAL Hist Forecast'!F14)</f>
        <v>-3418.9548716654499</v>
      </c>
      <c r="E18" s="135">
        <f ca="1">-('BAL Hist Forecast'!I13-'BAL Hist Forecast'!H13+'BAL Hist Forecast'!I14-'BAL Hist Forecast'!H14)</f>
        <v>-4568.3603313168169</v>
      </c>
      <c r="F18" s="135">
        <f ca="1">-('BAL Hist Forecast'!J13-'BAL Hist Forecast'!I13+'BAL Hist Forecast'!J14-'BAL Hist Forecast'!I14)</f>
        <v>-4837.4031928798213</v>
      </c>
      <c r="G18" s="138"/>
      <c r="H18" s="63"/>
      <c r="I18" s="138"/>
      <c r="J18" s="138"/>
    </row>
    <row r="19" spans="2:10">
      <c r="B19" s="140" t="s">
        <v>114</v>
      </c>
      <c r="C19" s="140"/>
      <c r="D19" s="100">
        <f ca="1">SUM(D18)</f>
        <v>-3418.9548716654499</v>
      </c>
      <c r="E19" s="100">
        <f ca="1">SUM(E18)</f>
        <v>-4568.3603313168169</v>
      </c>
      <c r="F19" s="100">
        <f ca="1">SUM(F18)</f>
        <v>-4837.4031928798213</v>
      </c>
      <c r="G19" s="138"/>
      <c r="H19" s="138"/>
      <c r="I19" s="138"/>
      <c r="J19" s="138"/>
    </row>
    <row r="20" spans="2:10">
      <c r="B20" s="138"/>
      <c r="C20" s="138"/>
      <c r="D20" s="156"/>
      <c r="E20" s="156"/>
      <c r="F20" s="156"/>
      <c r="G20" s="138"/>
      <c r="H20" s="138"/>
      <c r="I20" s="138"/>
      <c r="J20" s="138"/>
    </row>
    <row r="21" spans="2:10">
      <c r="B21" s="98" t="s">
        <v>115</v>
      </c>
      <c r="C21" s="98"/>
      <c r="D21" s="156"/>
      <c r="E21" s="156"/>
      <c r="F21" s="156"/>
      <c r="G21" s="138"/>
      <c r="H21" s="138"/>
      <c r="I21" s="138"/>
      <c r="J21" s="138"/>
    </row>
    <row r="22" spans="2:10">
      <c r="B22" s="138" t="s">
        <v>116</v>
      </c>
      <c r="C22" s="138"/>
      <c r="D22" s="100">
        <f ca="1">'BAL Hist Forecast'!H19-'BAL Hist Forecast'!F19</f>
        <v>3073.9536478949158</v>
      </c>
      <c r="E22" s="100">
        <f ca="1">'BAL Hist Forecast'!I19-'BAL Hist Forecast'!H19</f>
        <v>-3031.9562408393103</v>
      </c>
      <c r="F22" s="100">
        <f ca="1">'BAL Hist Forecast'!J19-'BAL Hist Forecast'!I19</f>
        <v>-4114.9275399255566</v>
      </c>
      <c r="G22" s="138"/>
      <c r="H22" s="138"/>
      <c r="I22" s="138"/>
      <c r="J22" s="138"/>
    </row>
    <row r="23" spans="2:10">
      <c r="B23" s="138" t="s">
        <v>117</v>
      </c>
      <c r="C23" s="138"/>
      <c r="D23" s="100">
        <f>'BAL Hist Forecast'!H21-'BAL Hist Forecast'!F21</f>
        <v>0</v>
      </c>
      <c r="E23" s="100">
        <f>'BAL Hist Forecast'!I21-'BAL Hist Forecast'!H21</f>
        <v>0</v>
      </c>
      <c r="F23" s="100">
        <f>'BAL Hist Forecast'!J21-'BAL Hist Forecast'!I21</f>
        <v>0</v>
      </c>
      <c r="G23" s="138"/>
      <c r="H23" s="138"/>
      <c r="I23" s="138"/>
      <c r="J23" s="138"/>
    </row>
    <row r="24" spans="2:10">
      <c r="B24" s="138" t="s">
        <v>118</v>
      </c>
      <c r="C24" s="138"/>
      <c r="D24" s="100">
        <f>'BAL Hist Forecast'!H27-'BAL Hist Forecast'!F27</f>
        <v>0</v>
      </c>
      <c r="E24" s="100">
        <f>'BAL Hist Forecast'!I27-'BAL Hist Forecast'!H27</f>
        <v>0</v>
      </c>
      <c r="F24" s="100">
        <f>'BAL Hist Forecast'!J27-'BAL Hist Forecast'!I27</f>
        <v>0</v>
      </c>
      <c r="G24" s="138"/>
      <c r="H24" s="138"/>
      <c r="I24" s="138"/>
      <c r="J24" s="138"/>
    </row>
    <row r="25" spans="2:10">
      <c r="B25" s="138" t="s">
        <v>119</v>
      </c>
      <c r="C25" s="138"/>
      <c r="D25" s="100">
        <f>'BAL Hist Forecast'!H26-'BAL Hist Forecast'!F26</f>
        <v>0</v>
      </c>
      <c r="E25" s="100">
        <f>'BAL Hist Forecast'!I26-'BAL Hist Forecast'!H26</f>
        <v>0</v>
      </c>
      <c r="F25" s="100">
        <f>'BAL Hist Forecast'!J26-'BAL Hist Forecast'!I26</f>
        <v>0</v>
      </c>
      <c r="G25" s="138"/>
      <c r="H25" s="138"/>
      <c r="I25" s="138"/>
      <c r="J25" s="138"/>
    </row>
    <row r="26" spans="2:10">
      <c r="B26" s="138" t="s">
        <v>120</v>
      </c>
      <c r="C26" s="138"/>
      <c r="D26" s="158">
        <f ca="1">-'IS Hist Forecast'!H16</f>
        <v>-9312</v>
      </c>
      <c r="E26" s="158">
        <f ca="1">-'IS Hist Forecast'!I16</f>
        <v>-9312</v>
      </c>
      <c r="F26" s="158">
        <f ca="1">-'IS Hist Forecast'!J16</f>
        <v>-9312</v>
      </c>
      <c r="G26" s="138"/>
      <c r="H26" s="138"/>
      <c r="I26" s="29"/>
      <c r="J26" s="28"/>
    </row>
    <row r="27" spans="2:10">
      <c r="B27" s="138" t="s">
        <v>121</v>
      </c>
      <c r="C27" s="138"/>
      <c r="D27" s="100">
        <f>'BAL Hist Forecast'!H30-'BAL Hist Forecast'!F30</f>
        <v>-6000</v>
      </c>
      <c r="E27" s="100">
        <f>'BAL Hist Forecast'!I30-'BAL Hist Forecast'!H30</f>
        <v>-4000</v>
      </c>
      <c r="F27" s="100">
        <f>'BAL Hist Forecast'!J30-'BAL Hist Forecast'!I30</f>
        <v>-4000</v>
      </c>
      <c r="G27" s="138"/>
      <c r="H27" s="138"/>
      <c r="I27" s="138"/>
      <c r="J27" s="138"/>
    </row>
    <row r="28" spans="2:10">
      <c r="B28" s="140" t="s">
        <v>122</v>
      </c>
      <c r="C28" s="140"/>
      <c r="D28" s="159">
        <f ca="1">SUM(D22:D27)</f>
        <v>-12238.046352105084</v>
      </c>
      <c r="E28" s="159">
        <f t="shared" ref="E28:F28" ca="1" si="1">SUM(E22:E27)</f>
        <v>-16343.95624083931</v>
      </c>
      <c r="F28" s="159">
        <f t="shared" ca="1" si="1"/>
        <v>-17426.927539925557</v>
      </c>
      <c r="G28" s="138"/>
      <c r="H28" s="138"/>
      <c r="I28" s="138"/>
      <c r="J28" s="138"/>
    </row>
    <row r="29" spans="2:10">
      <c r="B29" s="138"/>
      <c r="C29" s="138"/>
      <c r="D29" s="156"/>
      <c r="E29" s="156"/>
      <c r="F29" s="156"/>
      <c r="G29" s="157" t="s">
        <v>22</v>
      </c>
      <c r="H29" s="138"/>
      <c r="I29" s="138"/>
      <c r="J29" s="138"/>
    </row>
    <row r="30" spans="2:10">
      <c r="B30" s="138" t="s">
        <v>123</v>
      </c>
      <c r="C30" s="138"/>
      <c r="D30" s="100">
        <f ca="1">D28+D19+D15</f>
        <v>4518.0000000000182</v>
      </c>
      <c r="E30" s="100">
        <f ca="1">E28+E19+E15</f>
        <v>-2.9103830456733704E-11</v>
      </c>
      <c r="F30" s="100">
        <f ca="1">F28+F19+F15</f>
        <v>0</v>
      </c>
      <c r="G30" s="138"/>
      <c r="H30" s="138"/>
      <c r="I30" s="138"/>
      <c r="J30" s="138"/>
    </row>
    <row r="31" spans="2:10">
      <c r="B31" s="138" t="s">
        <v>124</v>
      </c>
      <c r="C31" s="138"/>
      <c r="D31" s="135">
        <f>'BAL Hist Forecast'!F4</f>
        <v>9482</v>
      </c>
      <c r="E31" s="135">
        <f ca="1">'BAL Hist Forecast'!H4</f>
        <v>14000</v>
      </c>
      <c r="F31" s="135">
        <f ca="1">'BAL Hist Forecast'!I4</f>
        <v>14000</v>
      </c>
      <c r="G31" s="138"/>
      <c r="H31" s="138"/>
      <c r="I31" s="138"/>
      <c r="J31" s="138"/>
    </row>
    <row r="32" spans="2:10" ht="13.5" thickBot="1">
      <c r="B32" s="138" t="s">
        <v>125</v>
      </c>
      <c r="C32" s="138"/>
      <c r="D32" s="160">
        <f ca="1">SUM(D30:D31)</f>
        <v>14000.000000000018</v>
      </c>
      <c r="E32" s="160">
        <f ca="1">E30+E31</f>
        <v>13999.999999999971</v>
      </c>
      <c r="F32" s="160">
        <f ca="1">F30+F31</f>
        <v>14000</v>
      </c>
      <c r="G32" s="138"/>
      <c r="H32" s="138"/>
      <c r="I32" s="138"/>
      <c r="J32" s="138"/>
    </row>
    <row r="33" spans="2:9" ht="14.25" thickTop="1" thickBot="1">
      <c r="B33" s="138"/>
      <c r="C33" s="138"/>
      <c r="D33" s="161"/>
      <c r="E33" s="161"/>
      <c r="F33" s="161"/>
      <c r="G33" s="138"/>
      <c r="H33" s="138"/>
      <c r="I33" s="138"/>
    </row>
    <row r="34" spans="2:9" ht="13.5" thickBot="1">
      <c r="B34" s="136" t="s">
        <v>126</v>
      </c>
      <c r="C34" s="138"/>
      <c r="D34" s="137" t="str">
        <f ca="1">IF(ROUND(D32,0)=ROUND('BAL Hist Forecast'!H4,0),"YES","NO")</f>
        <v>YES</v>
      </c>
      <c r="E34" s="137" t="str">
        <f ca="1">IF(ROUND(E32,0)=ROUND('BAL Hist Forecast'!I4,0),"YES","NO")</f>
        <v>YES</v>
      </c>
      <c r="F34" s="137" t="str">
        <f ca="1">IF(ROUND(F32,0)=ROUND('BAL Hist Forecast'!J4,0),"YES","NO")</f>
        <v>YES</v>
      </c>
      <c r="G34" s="138"/>
      <c r="H34" s="138"/>
      <c r="I34" s="138" t="s">
        <v>22</v>
      </c>
    </row>
    <row r="35" spans="2:9">
      <c r="B35" s="138"/>
      <c r="C35" s="138"/>
      <c r="D35" s="198"/>
      <c r="E35" s="156"/>
      <c r="F35" s="138"/>
      <c r="G35" s="138"/>
      <c r="H35" s="138"/>
      <c r="I35" s="138"/>
    </row>
    <row r="36" spans="2:9">
      <c r="B36" s="138"/>
      <c r="C36" s="138"/>
      <c r="D36" s="162"/>
      <c r="E36" s="156"/>
      <c r="F36" s="138"/>
      <c r="G36" s="138"/>
      <c r="H36" s="138"/>
      <c r="I36" s="138"/>
    </row>
    <row r="37" spans="2:9">
      <c r="B37" s="138"/>
      <c r="C37" s="138"/>
      <c r="D37" s="156"/>
      <c r="E37" s="156"/>
      <c r="F37" s="138"/>
      <c r="G37" s="138"/>
      <c r="H37" s="138"/>
      <c r="I37" s="138"/>
    </row>
    <row r="38" spans="2:9">
      <c r="B38" s="138"/>
      <c r="C38" s="138"/>
      <c r="D38" s="156"/>
      <c r="E38" s="156"/>
      <c r="F38" s="138"/>
      <c r="G38" s="138"/>
      <c r="H38" s="138"/>
      <c r="I38" s="138"/>
    </row>
  </sheetData>
  <printOptions headings="1" gridLines="1"/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4"/>
  <sheetViews>
    <sheetView zoomScale="140" zoomScaleNormal="140" zoomScaleSheetLayoutView="91" workbookViewId="0">
      <pane xSplit="2" ySplit="3" topLeftCell="F4" activePane="bottomRight" state="frozen"/>
      <selection pane="bottomRight" activeCell="F14" sqref="F13:F14"/>
      <selection pane="bottomLeft" activeCell="A4" sqref="A4"/>
      <selection pane="topRight" activeCell="C1" sqref="C1"/>
    </sheetView>
  </sheetViews>
  <sheetFormatPr defaultColWidth="9" defaultRowHeight="12.75"/>
  <cols>
    <col min="1" max="1" width="3.28515625" style="5" customWidth="1"/>
    <col min="2" max="2" width="31" style="5" customWidth="1"/>
    <col min="3" max="3" width="2.28515625" style="5" customWidth="1"/>
    <col min="4" max="4" width="12.85546875" style="5" customWidth="1"/>
    <col min="5" max="5" width="15" style="5" customWidth="1"/>
    <col min="6" max="6" width="12.7109375" style="5" customWidth="1"/>
    <col min="7" max="7" width="6.7109375" style="5" customWidth="1"/>
    <col min="8" max="8" width="15.7109375" style="5" customWidth="1"/>
    <col min="9" max="9" width="16.7109375" style="5" customWidth="1"/>
    <col min="10" max="10" width="19.140625" style="5" customWidth="1"/>
    <col min="11" max="11" width="35.7109375" style="5" customWidth="1"/>
    <col min="12" max="12" width="15.85546875" style="6" customWidth="1"/>
    <col min="13" max="13" width="13.28515625" style="5" customWidth="1"/>
    <col min="14" max="14" width="11.28515625" style="5" customWidth="1"/>
    <col min="15" max="15" width="38.7109375" style="5" customWidth="1"/>
    <col min="16" max="16384" width="9" style="5"/>
  </cols>
  <sheetData>
    <row r="1" spans="1:17" ht="15">
      <c r="A1" s="13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9"/>
      <c r="M1" s="289"/>
      <c r="N1" s="289"/>
      <c r="O1" s="289"/>
      <c r="P1" s="288"/>
      <c r="Q1" s="138"/>
    </row>
    <row r="2" spans="1:17" ht="45">
      <c r="A2" s="138"/>
      <c r="B2" s="323" t="s">
        <v>36</v>
      </c>
      <c r="C2" s="288"/>
      <c r="D2" s="290" t="s">
        <v>127</v>
      </c>
      <c r="E2" s="291"/>
      <c r="F2" s="291"/>
      <c r="G2" s="288"/>
      <c r="H2" s="290" t="s">
        <v>78</v>
      </c>
      <c r="I2" s="291"/>
      <c r="J2" s="291"/>
      <c r="K2" s="292"/>
      <c r="L2" s="289"/>
      <c r="M2" s="289"/>
      <c r="N2" s="289"/>
      <c r="O2" s="289"/>
      <c r="P2" s="288"/>
      <c r="Q2" s="138"/>
    </row>
    <row r="3" spans="1:17" ht="15.75">
      <c r="A3" s="138"/>
      <c r="B3" s="110" t="s">
        <v>37</v>
      </c>
      <c r="C3" s="288"/>
      <c r="D3" s="323" t="s">
        <v>13</v>
      </c>
      <c r="E3" s="323" t="s">
        <v>14</v>
      </c>
      <c r="F3" s="323" t="s">
        <v>15</v>
      </c>
      <c r="G3" s="288"/>
      <c r="H3" s="269">
        <v>2025</v>
      </c>
      <c r="I3" s="269">
        <f>H3+1</f>
        <v>2026</v>
      </c>
      <c r="J3" s="269">
        <f>I3+1</f>
        <v>2027</v>
      </c>
      <c r="K3" s="293" t="s">
        <v>128</v>
      </c>
      <c r="L3" s="379">
        <f>H3</f>
        <v>2025</v>
      </c>
      <c r="M3" s="379">
        <f>I3</f>
        <v>2026</v>
      </c>
      <c r="N3" s="379">
        <f>J3</f>
        <v>2027</v>
      </c>
      <c r="O3" s="109" t="s">
        <v>129</v>
      </c>
      <c r="P3" s="288"/>
      <c r="Q3" s="138"/>
    </row>
    <row r="4" spans="1:17" ht="44.25" customHeight="1">
      <c r="A4" s="138"/>
      <c r="B4" s="111" t="s">
        <v>38</v>
      </c>
      <c r="C4" s="288"/>
      <c r="D4" s="294" cm="1">
        <f t="array" ref="D4:F4">'Balance Sheet'!B3:D3</f>
        <v>7214</v>
      </c>
      <c r="E4" s="294">
        <v>8246</v>
      </c>
      <c r="F4" s="294">
        <v>9482</v>
      </c>
      <c r="G4" s="75"/>
      <c r="H4" s="297">
        <f ca="1">IF(L4&gt;L5,H43,(L5-L4+H43))</f>
        <v>14000</v>
      </c>
      <c r="I4" s="297">
        <f t="shared" ref="I4:J4" ca="1" si="0">IF(M4&gt;M5,I43,(M5-M4+I43))</f>
        <v>14000</v>
      </c>
      <c r="J4" s="297">
        <f t="shared" ca="1" si="0"/>
        <v>14000</v>
      </c>
      <c r="K4" s="295" t="str">
        <f ca="1">_xlfn.FORMULATEXT(H4)</f>
        <v>=IF(L4&gt;L5,H43,(L5-L4+H43))</v>
      </c>
      <c r="L4" s="283">
        <f ca="1">H43+H5+H10+H11+H13+H14</f>
        <v>130654.0416837962</v>
      </c>
      <c r="M4" s="199">
        <f ca="1">I43+I5+I10+I11+I13+I14</f>
        <v>136156.90722384086</v>
      </c>
      <c r="N4" s="199">
        <f ca="1">J43+J5+J10+J11+J13+J14</f>
        <v>141984.8859379722</v>
      </c>
      <c r="O4" s="284" t="str">
        <f ca="1">_xlfn.FORMULATEXT(L4)</f>
        <v>=H43+H5+H10+H11+H13+H14</v>
      </c>
      <c r="P4" s="296"/>
      <c r="Q4" s="8"/>
    </row>
    <row r="5" spans="1:17" ht="44.25" customHeight="1">
      <c r="A5" s="138"/>
      <c r="B5" s="111" t="s">
        <v>39</v>
      </c>
      <c r="C5" s="288"/>
      <c r="D5" s="294" cm="1">
        <f t="array" ref="D5:F5">'Balance Sheet'!B4:D4</f>
        <v>5143</v>
      </c>
      <c r="E5" s="294">
        <v>5471</v>
      </c>
      <c r="F5" s="294">
        <v>6118</v>
      </c>
      <c r="G5" s="76"/>
      <c r="H5" s="297">
        <f>'IS Hist Forecast'!H4/365*'BAL Hist Forecast'!H44</f>
        <v>6047.1900412963314</v>
      </c>
      <c r="I5" s="297">
        <f>'IS Hist Forecast'!I4/365*'BAL Hist Forecast'!I44</f>
        <v>6410.0214437741115</v>
      </c>
      <c r="J5" s="297">
        <f>'IS Hist Forecast'!J4/365*'BAL Hist Forecast'!J44</f>
        <v>6794.6227304005588</v>
      </c>
      <c r="K5" s="295" t="str">
        <f ca="1">_xlfn.FORMULATEXT(H5)</f>
        <v>='IS Hist Forecast'!H4/365*'BAL Hist Forecast'!H44</v>
      </c>
      <c r="L5" s="285">
        <f ca="1">H17+H18+SUM(H21:H23)+H26+H27+H28+H29+H30+H31+H32</f>
        <v>120389.08803590128</v>
      </c>
      <c r="M5" s="199">
        <f ca="1">I17+I18+SUM(I21:I23)+I26+I27+I28+I29+I30+I31+I32</f>
        <v>128923.90981678525</v>
      </c>
      <c r="N5" s="199">
        <f ca="1">J17+J18+SUM(J21:J23)+J26+J27+J28+J29+J30+J31+J32</f>
        <v>138866.81607084215</v>
      </c>
      <c r="O5" s="286" t="str">
        <f ca="1">_xlfn.FORMULATEXT(L5)</f>
        <v>=H17+H18+SUM(H21:H23)+H26+H27+H28+H29+H30+H31+H32</v>
      </c>
      <c r="P5" s="199"/>
      <c r="Q5" s="199"/>
    </row>
    <row r="6" spans="1:17" ht="35.25" customHeight="1">
      <c r="A6" s="138"/>
      <c r="B6" s="110" t="s">
        <v>40</v>
      </c>
      <c r="C6" s="288"/>
      <c r="D6" s="288"/>
      <c r="E6" s="288"/>
      <c r="F6" s="288"/>
      <c r="G6" s="111"/>
      <c r="H6" s="288"/>
      <c r="I6" s="288"/>
      <c r="J6" s="288"/>
      <c r="K6" s="199"/>
      <c r="L6" s="446" t="s">
        <v>130</v>
      </c>
      <c r="M6" s="446"/>
      <c r="N6" s="446"/>
      <c r="O6" s="446"/>
      <c r="P6" s="199"/>
      <c r="Q6" s="199"/>
    </row>
    <row r="7" spans="1:17" ht="27.75" customHeight="1">
      <c r="A7" s="138"/>
      <c r="B7" s="111" t="s">
        <v>41</v>
      </c>
      <c r="C7" s="288"/>
      <c r="D7" s="319" cm="1">
        <f t="array" ref="D7:F7">'Balance Sheet'!B6:D6</f>
        <v>2168</v>
      </c>
      <c r="E7" s="319">
        <v>1863</v>
      </c>
      <c r="F7" s="319">
        <v>1617</v>
      </c>
      <c r="G7" s="76"/>
      <c r="H7" s="297">
        <f>'IS Hist Forecast'!H$5/365*'BAL Hist Forecast'!H45</f>
        <v>1942.4071920544334</v>
      </c>
      <c r="I7" s="297">
        <f>'IS Hist Forecast'!I5/365*'BAL Hist Forecast'!I45</f>
        <v>2058.9516235776996</v>
      </c>
      <c r="J7" s="297">
        <f>'IS Hist Forecast'!J5/365*'BAL Hist Forecast'!J45</f>
        <v>2182.4887209923613</v>
      </c>
      <c r="K7" s="381" t="str">
        <f ca="1">_xlfn.FORMULATEXT(H7)</f>
        <v>='IS Hist Forecast'!H$5/365*'BAL Hist Forecast'!H45</v>
      </c>
      <c r="L7" s="199"/>
      <c r="M7" s="199"/>
      <c r="N7" s="199"/>
      <c r="O7" s="199"/>
      <c r="P7" s="199"/>
      <c r="Q7" s="199"/>
    </row>
    <row r="8" spans="1:17" ht="25.5" customHeight="1">
      <c r="A8" s="138"/>
      <c r="B8" s="111" t="s">
        <v>42</v>
      </c>
      <c r="C8" s="288"/>
      <c r="D8" s="169" cm="1">
        <f t="array" ref="D8:F8">'Balance Sheet'!B7:D7</f>
        <v>856</v>
      </c>
      <c r="E8" s="169">
        <v>956</v>
      </c>
      <c r="F8" s="169">
        <v>929</v>
      </c>
      <c r="G8" s="76"/>
      <c r="H8" s="297">
        <f>'IS Hist Forecast'!H$5/365*'BAL Hist Forecast'!H46</f>
        <v>943.99128528379072</v>
      </c>
      <c r="I8" s="297">
        <f>'IS Hist Forecast'!I$5/365*'BAL Hist Forecast'!I46</f>
        <v>1000.6307624008182</v>
      </c>
      <c r="J8" s="297">
        <f>'IS Hist Forecast'!J$5/365*'BAL Hist Forecast'!J46</f>
        <v>1060.6686081448674</v>
      </c>
      <c r="K8" s="381" t="str">
        <f ca="1">_xlfn.FORMULATEXT(H8)</f>
        <v>='IS Hist Forecast'!H$5/365*'BAL Hist Forecast'!H46</v>
      </c>
      <c r="L8" s="199"/>
      <c r="M8" s="199"/>
      <c r="N8" s="199"/>
      <c r="O8" s="199"/>
      <c r="P8" s="199"/>
      <c r="Q8" s="199"/>
    </row>
    <row r="9" spans="1:17" ht="15" customHeight="1">
      <c r="A9" s="138"/>
      <c r="B9" s="189" t="s">
        <v>43</v>
      </c>
      <c r="C9" s="288"/>
      <c r="D9" s="170" cm="1">
        <f t="array" ref="D9:F9">'Balance Sheet'!B8:D8</f>
        <v>3900</v>
      </c>
      <c r="E9" s="170">
        <v>4254</v>
      </c>
      <c r="F9" s="170">
        <v>4470</v>
      </c>
      <c r="G9" s="76"/>
      <c r="H9" s="433">
        <f>'IS Hist Forecast'!H$5/365*'BAL Hist Forecast'!H47</f>
        <v>4350.4825267441975</v>
      </c>
      <c r="I9" s="433">
        <f>'IS Hist Forecast'!I$5/365*'BAL Hist Forecast'!I47</f>
        <v>4611.5114783488489</v>
      </c>
      <c r="J9" s="433">
        <f>'IS Hist Forecast'!J$5/365*'BAL Hist Forecast'!J47</f>
        <v>4888.2021670497807</v>
      </c>
      <c r="K9" s="381" t="str">
        <f ca="1">_xlfn.FORMULATEXT(H9)</f>
        <v>='IS Hist Forecast'!H$5/365*'BAL Hist Forecast'!H47</v>
      </c>
      <c r="L9" s="199"/>
      <c r="M9" s="199"/>
      <c r="N9" s="199"/>
      <c r="O9" s="199"/>
      <c r="P9" s="199"/>
      <c r="Q9" s="199"/>
    </row>
    <row r="10" spans="1:17" ht="15">
      <c r="A10" s="138"/>
      <c r="B10" s="111" t="s">
        <v>44</v>
      </c>
      <c r="C10" s="288"/>
      <c r="D10" s="169">
        <f>SUM(D7:D9)</f>
        <v>6924</v>
      </c>
      <c r="E10" s="169">
        <f t="shared" ref="E10:F10" si="1">SUM(E7:E9)</f>
        <v>7073</v>
      </c>
      <c r="F10" s="169">
        <f t="shared" si="1"/>
        <v>7016</v>
      </c>
      <c r="G10" s="76"/>
      <c r="H10" s="100">
        <f>SUM(H7:H9)</f>
        <v>7236.881004082421</v>
      </c>
      <c r="I10" s="100">
        <f>SUM(I7:I9)</f>
        <v>7671.0938643273666</v>
      </c>
      <c r="J10" s="100">
        <f>SUM(J7:J9)</f>
        <v>8131.3594961870094</v>
      </c>
      <c r="K10" s="381" t="str">
        <f t="shared" ref="K10:K15" ca="1" si="2">_xlfn.FORMULATEXT(H10)</f>
        <v>=SUM(H7:H9)</v>
      </c>
      <c r="L10" s="199"/>
      <c r="M10" s="199"/>
      <c r="N10" s="199"/>
      <c r="O10" s="199"/>
      <c r="P10" s="199"/>
      <c r="Q10" s="199"/>
    </row>
    <row r="11" spans="1:17" ht="30">
      <c r="A11" s="138"/>
      <c r="B11" s="189" t="s">
        <v>45</v>
      </c>
      <c r="C11" s="288"/>
      <c r="D11" s="170" cm="1">
        <f t="array" ref="D11:F11">'Balance Sheet'!B10:D10</f>
        <v>2372</v>
      </c>
      <c r="E11" s="170">
        <v>1858</v>
      </c>
      <c r="F11" s="170">
        <v>2094</v>
      </c>
      <c r="G11" s="76"/>
      <c r="H11" s="135">
        <f>H48*'IS Hist Forecast'!H4</f>
        <v>2291.0157667519961</v>
      </c>
      <c r="I11" s="135">
        <f>I48*'IS Hist Forecast'!I4</f>
        <v>2428.4767127571163</v>
      </c>
      <c r="J11" s="135">
        <f>J48*'IS Hist Forecast'!J4</f>
        <v>2574.1853155225431</v>
      </c>
      <c r="K11" s="381" t="str">
        <f ca="1">_xlfn.FORMULATEXT(H11)</f>
        <v>=H48*'IS Hist Forecast'!H4</v>
      </c>
      <c r="L11" s="199"/>
      <c r="M11" s="199"/>
      <c r="N11" s="199"/>
      <c r="O11" s="199"/>
      <c r="P11" s="199"/>
      <c r="Q11" s="199"/>
    </row>
    <row r="12" spans="1:17" ht="15">
      <c r="A12" s="138"/>
      <c r="B12" s="111" t="s">
        <v>46</v>
      </c>
      <c r="C12" s="288"/>
      <c r="D12" s="168">
        <f>D10+D11+D4+D5</f>
        <v>21653</v>
      </c>
      <c r="E12" s="168">
        <f t="shared" ref="E12:F12" si="3">E10+E11+E4+E5</f>
        <v>22648</v>
      </c>
      <c r="F12" s="168">
        <f t="shared" si="3"/>
        <v>24710</v>
      </c>
      <c r="G12" s="76"/>
      <c r="H12" s="100">
        <f ca="1">H4+H5+H10+H11</f>
        <v>29575.086812130747</v>
      </c>
      <c r="I12" s="100">
        <f ca="1">I4+I5+I10+I11</f>
        <v>30509.592020858596</v>
      </c>
      <c r="J12" s="100">
        <f ca="1">J4+J5+J10+J11</f>
        <v>31500.167542110114</v>
      </c>
      <c r="K12" s="381" t="str">
        <f ca="1">_xlfn.FORMULATEXT(H12)</f>
        <v>=H4+H5+H10+H11</v>
      </c>
      <c r="L12" s="199"/>
      <c r="M12" s="199"/>
      <c r="N12" s="199"/>
      <c r="O12" s="199"/>
      <c r="P12" s="199"/>
      <c r="Q12" s="199"/>
    </row>
    <row r="13" spans="1:17" ht="30">
      <c r="A13" s="138"/>
      <c r="B13" s="111" t="s">
        <v>47</v>
      </c>
      <c r="C13" s="288"/>
      <c r="D13" s="169">
        <f>'Balance Sheet'!B12+'Balance Sheet'!B13+'Balance Sheet'!B14</f>
        <v>84574</v>
      </c>
      <c r="E13" s="169">
        <f>'Balance Sheet'!C12+'Balance Sheet'!C13+'Balance Sheet'!C14</f>
        <v>86351</v>
      </c>
      <c r="F13" s="169">
        <f>'Balance Sheet'!D12+'Balance Sheet'!D13+'Balance Sheet'!D14</f>
        <v>84502</v>
      </c>
      <c r="G13" s="76"/>
      <c r="H13" s="100">
        <f ca="1">F13+H49*('IS Hist Forecast'!H8 - 'IS Hist Forecast'!H12)</f>
        <v>88079.8999452547</v>
      </c>
      <c r="I13" s="100">
        <f ca="1">H13+I49*('IS Hist Forecast'!I8 - 'IS Hist Forecast'!I12)</f>
        <v>91868.31698098687</v>
      </c>
      <c r="J13" s="100">
        <f ca="1">I13+J49*('IS Hist Forecast'!J8 - 'IS Hist Forecast'!J12)</f>
        <v>95878.980280546966</v>
      </c>
      <c r="K13" s="401" t="str">
        <f ca="1">_xlfn.FORMULATEXT(H13)</f>
        <v>=F13+H49*('IS Hist Forecast'!H8 - 'IS Hist Forecast'!H12)</v>
      </c>
      <c r="L13" s="199" t="s">
        <v>22</v>
      </c>
      <c r="M13" s="199"/>
      <c r="N13" s="199"/>
      <c r="O13" s="199"/>
      <c r="P13" s="199"/>
      <c r="Q13" s="199"/>
    </row>
    <row r="14" spans="1:17" ht="15">
      <c r="A14" s="138"/>
      <c r="B14" s="189" t="s">
        <v>50</v>
      </c>
      <c r="C14" s="288"/>
      <c r="D14" s="170" cm="1">
        <f t="array" ref="D14:F14">'Balance Sheet'!B15:D15</f>
        <v>10981</v>
      </c>
      <c r="E14" s="170">
        <v>11830</v>
      </c>
      <c r="F14" s="170">
        <v>13158</v>
      </c>
      <c r="G14" s="76"/>
      <c r="H14" s="135">
        <f>H50*'IS Hist Forecast'!H4</f>
        <v>12999.05492641075</v>
      </c>
      <c r="I14" s="135">
        <f>I50*'IS Hist Forecast'!I4</f>
        <v>13778.998221995396</v>
      </c>
      <c r="J14" s="135">
        <f>J50*'IS Hist Forecast'!J4</f>
        <v>14605.738115315122</v>
      </c>
      <c r="K14" s="381" t="str">
        <f t="shared" ca="1" si="2"/>
        <v>=H50*'IS Hist Forecast'!H4</v>
      </c>
      <c r="L14" s="199" t="s">
        <v>22</v>
      </c>
      <c r="M14" s="199"/>
      <c r="N14" s="199"/>
      <c r="O14" s="199"/>
      <c r="P14" s="199"/>
      <c r="Q14" s="199"/>
    </row>
    <row r="15" spans="1:17" ht="15">
      <c r="A15" s="138"/>
      <c r="B15" s="111" t="s">
        <v>51</v>
      </c>
      <c r="C15" s="288"/>
      <c r="D15" s="169">
        <f ca="1">SUM(D12:D15)</f>
        <v>117208</v>
      </c>
      <c r="E15" s="169">
        <f ca="1">SUM(E12:E15)</f>
        <v>120829</v>
      </c>
      <c r="F15" s="169">
        <f ca="1">SUM(F12:F15)</f>
        <v>122370</v>
      </c>
      <c r="G15" s="76"/>
      <c r="H15" s="134">
        <f ca="1">SUM(H12:H14)</f>
        <v>130654.0416837962</v>
      </c>
      <c r="I15" s="134">
        <f t="shared" ref="I15:J15" ca="1" si="4">SUM(I12:I14)</f>
        <v>136156.90722384086</v>
      </c>
      <c r="J15" s="134">
        <f t="shared" ca="1" si="4"/>
        <v>141984.8859379722</v>
      </c>
      <c r="K15" s="382" t="str">
        <f t="shared" ca="1" si="2"/>
        <v>=SUM(H12:H14)</v>
      </c>
      <c r="L15" s="199"/>
      <c r="M15" s="199"/>
      <c r="N15" s="199"/>
      <c r="O15" s="199"/>
      <c r="P15" s="199"/>
      <c r="Q15" s="199"/>
    </row>
    <row r="16" spans="1:17" ht="15">
      <c r="A16" s="138"/>
      <c r="B16" s="110" t="s">
        <v>52</v>
      </c>
      <c r="C16" s="138"/>
      <c r="D16" s="138"/>
      <c r="E16" s="138"/>
      <c r="F16" s="138"/>
      <c r="G16" s="76"/>
      <c r="H16" s="272"/>
      <c r="I16" s="272"/>
      <c r="J16" s="272"/>
      <c r="K16" s="383"/>
      <c r="L16" s="199"/>
      <c r="M16" s="199"/>
      <c r="N16" s="199"/>
      <c r="O16" s="199"/>
      <c r="P16" s="199"/>
      <c r="Q16" s="199"/>
    </row>
    <row r="17" spans="1:24" ht="22.5" customHeight="1">
      <c r="A17" s="138"/>
      <c r="B17" s="111" t="s">
        <v>53</v>
      </c>
      <c r="C17" s="288"/>
      <c r="D17" s="169" cm="1">
        <f t="array" ref="D17:F17">'Balance Sheet'!B18:D18</f>
        <v>14882</v>
      </c>
      <c r="E17" s="169">
        <v>14598</v>
      </c>
      <c r="F17" s="169">
        <v>15365</v>
      </c>
      <c r="G17" s="76"/>
      <c r="H17" s="100">
        <f>H51*'IS Hist Forecast'!H5/365</f>
        <v>15451.323209321585</v>
      </c>
      <c r="I17" s="100">
        <f>I51*'IS Hist Forecast'!I5/365</f>
        <v>16378.402601880884</v>
      </c>
      <c r="J17" s="100">
        <f>J51*'IS Hist Forecast'!J5/365</f>
        <v>17361.106757993737</v>
      </c>
      <c r="K17" s="420" t="s">
        <v>131</v>
      </c>
      <c r="L17" s="199"/>
      <c r="M17" s="199"/>
      <c r="N17" s="199"/>
      <c r="O17" s="199"/>
      <c r="P17" s="199"/>
      <c r="Q17" s="199"/>
      <c r="R17" s="138"/>
      <c r="S17" s="138"/>
      <c r="T17" s="138"/>
      <c r="U17" s="138"/>
      <c r="V17" s="138"/>
      <c r="W17" s="138"/>
      <c r="X17" s="138"/>
    </row>
    <row r="18" spans="1:24" ht="28.5" customHeight="1">
      <c r="A18" s="138"/>
      <c r="B18" s="111" t="s">
        <v>54</v>
      </c>
      <c r="C18" s="288"/>
      <c r="D18" s="169" cm="1">
        <f t="array" ref="D18:F18">'Balance Sheet'!B19:D19</f>
        <v>9554</v>
      </c>
      <c r="E18" s="169">
        <v>10929</v>
      </c>
      <c r="F18" s="169">
        <v>11073</v>
      </c>
      <c r="G18" s="76"/>
      <c r="H18" s="100">
        <f>H52*'IS Hist Forecast'!H4</f>
        <v>11407.681736075394</v>
      </c>
      <c r="I18" s="100">
        <f>I52*'IS Hist Forecast'!I4</f>
        <v>12092.142640239917</v>
      </c>
      <c r="J18" s="100">
        <f>J52*'IS Hist Forecast'!J4</f>
        <v>12817.671198654314</v>
      </c>
      <c r="K18" s="420" t="s">
        <v>131</v>
      </c>
      <c r="L18" s="380">
        <f>L3</f>
        <v>2025</v>
      </c>
      <c r="M18" s="380">
        <f>M3</f>
        <v>2026</v>
      </c>
      <c r="N18" s="380">
        <f>N3</f>
        <v>2027</v>
      </c>
      <c r="O18" s="109" t="s">
        <v>129</v>
      </c>
      <c r="P18" s="199"/>
      <c r="Q18" s="199"/>
      <c r="R18" s="138"/>
      <c r="S18" s="138"/>
      <c r="T18" s="138"/>
      <c r="U18" s="138"/>
      <c r="V18" s="138"/>
      <c r="W18" s="138"/>
      <c r="X18" s="138"/>
    </row>
    <row r="19" spans="1:24" ht="15">
      <c r="A19" s="138"/>
      <c r="B19" s="111" t="s">
        <v>55</v>
      </c>
      <c r="C19" s="288"/>
      <c r="D19" s="169" cm="1">
        <f t="array" ref="D19:F19">'Balance Sheet'!B20:D20</f>
        <v>8645</v>
      </c>
      <c r="E19" s="169">
        <v>10229</v>
      </c>
      <c r="F19" s="169">
        <v>7191</v>
      </c>
      <c r="G19" s="76"/>
      <c r="H19" s="263">
        <f ca="1">IF((L19-L20)&gt;0,L19-L20,0)</f>
        <v>10264.953647894916</v>
      </c>
      <c r="I19" s="263">
        <f ca="1">IF((M19-M20)&gt;0,M19-M20,0)</f>
        <v>7232.9974070556054</v>
      </c>
      <c r="J19" s="263">
        <f ca="1">IF((N19-N20)&gt;0,N19-N20,0)</f>
        <v>3118.0698671300488</v>
      </c>
      <c r="K19" s="320" t="str">
        <f t="shared" ref="K19:K34" ca="1" si="5">_xlfn.FORMULATEXT(H19)</f>
        <v>=IF((L19-L20)&gt;0,L19-L20,0)</v>
      </c>
      <c r="L19" s="326">
        <f ca="1">L4</f>
        <v>130654.0416837962</v>
      </c>
      <c r="M19" s="327">
        <f ca="1">M4</f>
        <v>136156.90722384086</v>
      </c>
      <c r="N19" s="327">
        <f ca="1">N4</f>
        <v>141984.8859379722</v>
      </c>
      <c r="O19" s="283" t="str">
        <f ca="1">_xlfn.FORMULATEXT(L19)</f>
        <v>=L4</v>
      </c>
      <c r="P19" s="199"/>
      <c r="Q19" s="199"/>
      <c r="R19" s="138"/>
      <c r="S19" s="138"/>
      <c r="T19" s="138"/>
      <c r="U19" s="138"/>
      <c r="V19" s="138"/>
      <c r="W19" s="138"/>
      <c r="X19" s="138"/>
    </row>
    <row r="20" spans="1:24" ht="15">
      <c r="A20" s="138"/>
      <c r="B20" s="111" t="s">
        <v>56</v>
      </c>
      <c r="C20" s="288"/>
      <c r="D20" s="169">
        <f>SUM(D17:D19)</f>
        <v>33081</v>
      </c>
      <c r="E20" s="169">
        <f>SUM(E17:E19)</f>
        <v>35756</v>
      </c>
      <c r="F20" s="169">
        <f>SUM(F17:F19)</f>
        <v>33629</v>
      </c>
      <c r="G20" s="76"/>
      <c r="H20" s="134">
        <f ca="1">SUM(H17:H19)</f>
        <v>37123.958593291893</v>
      </c>
      <c r="I20" s="134">
        <f t="shared" ref="I20:J20" ca="1" si="6">SUM(I17:I19)</f>
        <v>35703.542649176408</v>
      </c>
      <c r="J20" s="134">
        <f t="shared" ca="1" si="6"/>
        <v>33296.847823778102</v>
      </c>
      <c r="K20" s="320" t="str">
        <f t="shared" ca="1" si="5"/>
        <v>=SUM(H17:H19)</v>
      </c>
      <c r="L20" s="328">
        <f ca="1">L5</f>
        <v>120389.08803590128</v>
      </c>
      <c r="M20" s="327">
        <f ca="1">M5</f>
        <v>128923.90981678525</v>
      </c>
      <c r="N20" s="327">
        <f ca="1">N5</f>
        <v>138866.81607084215</v>
      </c>
      <c r="O20" s="285" t="str">
        <f ca="1">_xlfn.FORMULATEXT(L20)</f>
        <v>=L5</v>
      </c>
      <c r="P20" s="199"/>
      <c r="Q20" s="199"/>
      <c r="R20" s="138"/>
      <c r="S20" s="138"/>
      <c r="T20" s="138"/>
      <c r="U20" s="138"/>
      <c r="V20" s="138"/>
      <c r="W20" s="138"/>
      <c r="X20" s="138"/>
    </row>
    <row r="21" spans="1:24" ht="58.35" customHeight="1">
      <c r="A21" s="138"/>
      <c r="B21" s="111" t="s">
        <v>57</v>
      </c>
      <c r="C21" s="288"/>
      <c r="D21" s="169" cm="1">
        <f t="array" ref="D21:F21">'Balance Sheet'!B22:D22</f>
        <v>22848</v>
      </c>
      <c r="E21" s="169">
        <v>24378</v>
      </c>
      <c r="F21" s="169">
        <v>25269</v>
      </c>
      <c r="G21" s="76"/>
      <c r="H21" s="100">
        <f>F21+H53-H54</f>
        <v>25269</v>
      </c>
      <c r="I21" s="100">
        <f>H21+I53-I54</f>
        <v>25269</v>
      </c>
      <c r="J21" s="100">
        <f>I21+J53-J54</f>
        <v>25269</v>
      </c>
      <c r="K21" s="320" t="str">
        <f t="shared" ca="1" si="5"/>
        <v>=F21+H53-H54</v>
      </c>
      <c r="L21" s="199" t="s">
        <v>22</v>
      </c>
      <c r="M21" s="199"/>
      <c r="N21" s="199"/>
      <c r="O21" s="199"/>
      <c r="P21" s="199"/>
      <c r="Q21" s="199"/>
      <c r="R21" s="138"/>
      <c r="S21" s="138"/>
      <c r="T21" s="138"/>
      <c r="U21" s="138"/>
      <c r="V21" s="138"/>
      <c r="W21" s="138"/>
      <c r="X21" s="138"/>
    </row>
    <row r="22" spans="1:24" ht="30">
      <c r="A22" s="138"/>
      <c r="B22" s="111" t="s">
        <v>58</v>
      </c>
      <c r="C22" s="288"/>
      <c r="D22" s="169" cm="1">
        <f t="array" ref="D22:F23">'Balance Sheet'!B23:D24</f>
        <v>6809</v>
      </c>
      <c r="E22" s="169">
        <v>6478</v>
      </c>
      <c r="F22" s="169">
        <v>6516</v>
      </c>
      <c r="G22" s="76"/>
      <c r="H22" s="100">
        <f>'IS Hist Forecast'!H4*'BAL Hist Forecast'!H55</f>
        <v>7169.3750236170727</v>
      </c>
      <c r="I22" s="100">
        <f>'IS Hist Forecast'!I4*'BAL Hist Forecast'!I55</f>
        <v>7599.5375250340976</v>
      </c>
      <c r="J22" s="100">
        <f>'IS Hist Forecast'!J4*'BAL Hist Forecast'!J55</f>
        <v>8055.5097765361434</v>
      </c>
      <c r="K22" s="320" t="str">
        <f t="shared" ca="1" si="5"/>
        <v>='IS Hist Forecast'!H4*'BAL Hist Forecast'!H55</v>
      </c>
      <c r="L22" s="199"/>
      <c r="M22" s="199"/>
      <c r="N22" s="199"/>
      <c r="O22" s="199"/>
      <c r="P22" s="199"/>
      <c r="Q22" s="199"/>
      <c r="R22" s="138"/>
      <c r="S22" s="138"/>
      <c r="T22" s="138"/>
      <c r="U22" s="138"/>
      <c r="V22" s="138"/>
      <c r="W22" s="138"/>
      <c r="X22" s="138"/>
    </row>
    <row r="23" spans="1:24" ht="15">
      <c r="A23" s="138"/>
      <c r="B23" s="111" t="s">
        <v>59</v>
      </c>
      <c r="C23" s="288"/>
      <c r="D23" s="169">
        <v>7616</v>
      </c>
      <c r="E23" s="169">
        <v>7152</v>
      </c>
      <c r="F23" s="169">
        <v>6398</v>
      </c>
      <c r="G23" s="76"/>
      <c r="H23" s="100">
        <f>H56*'IS Hist Forecast'!H4</f>
        <v>7670.5696929136893</v>
      </c>
      <c r="I23" s="100">
        <f>I56*'IS Hist Forecast'!I4</f>
        <v>8130.8038744885107</v>
      </c>
      <c r="J23" s="100">
        <f>J56*'IS Hist Forecast'!J4</f>
        <v>8618.652106957823</v>
      </c>
      <c r="K23" s="320" t="str">
        <f t="shared" ca="1" si="5"/>
        <v>=H56*'IS Hist Forecast'!H4</v>
      </c>
      <c r="L23" s="199"/>
      <c r="M23" s="199"/>
      <c r="N23" s="199"/>
      <c r="O23" s="199"/>
      <c r="P23" s="199"/>
      <c r="Q23" s="199"/>
      <c r="R23" s="138"/>
      <c r="S23" s="138"/>
      <c r="T23" s="138"/>
      <c r="U23" s="138"/>
      <c r="V23" s="138"/>
      <c r="W23" s="138"/>
      <c r="X23" s="138"/>
    </row>
    <row r="24" spans="1:24" ht="15">
      <c r="A24" s="138"/>
      <c r="B24" s="111" t="s">
        <v>60</v>
      </c>
      <c r="C24" s="288"/>
      <c r="D24" s="169">
        <f ca="1">SUM(D20:D24)</f>
        <v>70354</v>
      </c>
      <c r="E24" s="169">
        <f ca="1">SUM(E20:E24)</f>
        <v>73764</v>
      </c>
      <c r="F24" s="169">
        <f ca="1">SUM(F20:F24)</f>
        <v>71812</v>
      </c>
      <c r="G24" s="76"/>
      <c r="H24" s="134">
        <f ca="1">SUM(H20:H23)</f>
        <v>77232.90330982265</v>
      </c>
      <c r="I24" s="134">
        <f t="shared" ref="I24:J24" ca="1" si="7">SUM(I20:I23)</f>
        <v>76702.884048699023</v>
      </c>
      <c r="J24" s="134">
        <f t="shared" ca="1" si="7"/>
        <v>75240.009707272082</v>
      </c>
      <c r="K24" s="320" t="str">
        <f t="shared" ca="1" si="5"/>
        <v>=SUM(H20:H23)</v>
      </c>
      <c r="L24" s="199"/>
      <c r="M24" s="199"/>
      <c r="N24" s="199"/>
      <c r="O24" s="199"/>
      <c r="P24" s="199"/>
      <c r="Q24" s="199"/>
      <c r="R24" s="138"/>
      <c r="S24" s="138"/>
      <c r="T24" s="138"/>
      <c r="U24" s="138"/>
      <c r="V24" s="138"/>
      <c r="W24" s="138"/>
      <c r="X24" s="138"/>
    </row>
    <row r="25" spans="1:24" ht="15">
      <c r="A25" s="138"/>
      <c r="B25" s="110" t="s">
        <v>61</v>
      </c>
      <c r="C25" s="288"/>
      <c r="D25" s="138"/>
      <c r="E25" s="138"/>
      <c r="F25" s="138"/>
      <c r="G25" s="111"/>
      <c r="H25" s="138"/>
      <c r="I25" s="138"/>
      <c r="J25" s="138"/>
      <c r="K25" s="318"/>
      <c r="L25" s="111"/>
      <c r="M25" s="76"/>
      <c r="N25" s="76"/>
      <c r="O25" s="76"/>
      <c r="P25" s="138"/>
      <c r="Q25" s="138"/>
      <c r="R25" s="138"/>
      <c r="S25" s="138"/>
      <c r="T25" s="138"/>
      <c r="U25" s="138"/>
      <c r="V25" s="138"/>
      <c r="W25" s="138"/>
      <c r="X25" s="138"/>
    </row>
    <row r="26" spans="1:24" ht="15">
      <c r="A26" s="138"/>
      <c r="B26" s="111" t="s">
        <v>62</v>
      </c>
      <c r="C26" s="288"/>
      <c r="D26" s="169" cm="1">
        <f t="array" ref="D26:F26">'Balance Sheet'!B27:D27</f>
        <v>843</v>
      </c>
      <c r="E26" s="169">
        <v>819</v>
      </c>
      <c r="F26" s="169">
        <v>798</v>
      </c>
      <c r="G26" s="356"/>
      <c r="H26" s="247">
        <f>F26+H57</f>
        <v>798</v>
      </c>
      <c r="I26" s="247">
        <f>H26+I57</f>
        <v>798</v>
      </c>
      <c r="J26" s="247">
        <f>I26+J57</f>
        <v>798</v>
      </c>
      <c r="K26" s="320" t="str">
        <f t="shared" ca="1" si="5"/>
        <v>=F26+H57</v>
      </c>
      <c r="L26" s="111"/>
      <c r="M26" s="76"/>
      <c r="N26" s="76"/>
      <c r="O26" s="76"/>
      <c r="P26" s="138"/>
      <c r="Q26" s="138"/>
      <c r="R26" s="138"/>
      <c r="S26" s="138"/>
      <c r="T26" s="138"/>
      <c r="U26" s="138"/>
      <c r="V26" s="138"/>
      <c r="W26" s="138"/>
      <c r="X26" s="138"/>
    </row>
    <row r="27" spans="1:24" ht="30">
      <c r="A27" s="138"/>
      <c r="B27" s="111" t="s">
        <v>132</v>
      </c>
      <c r="C27" s="288"/>
      <c r="D27" s="169">
        <f>SUM('Balance Sheet'!B28:B29)</f>
        <v>69804</v>
      </c>
      <c r="E27" s="169">
        <f>SUM('Balance Sheet'!C28:C29)</f>
        <v>70565</v>
      </c>
      <c r="F27" s="169">
        <f>SUM('Balance Sheet'!D28:D29)</f>
        <v>71693</v>
      </c>
      <c r="G27" s="76"/>
      <c r="H27" s="100">
        <f>F27+H57</f>
        <v>71693</v>
      </c>
      <c r="I27" s="100">
        <f>H27+I57</f>
        <v>71693</v>
      </c>
      <c r="J27" s="100">
        <f>I27+J57</f>
        <v>71693</v>
      </c>
      <c r="K27" s="320" t="str">
        <f t="shared" ca="1" si="5"/>
        <v>=F27+H57</v>
      </c>
      <c r="L27" s="111"/>
      <c r="M27" s="76"/>
      <c r="N27" s="76"/>
      <c r="O27" s="76"/>
      <c r="P27" s="138"/>
      <c r="Q27" s="138"/>
      <c r="R27" s="138"/>
      <c r="S27" s="138"/>
      <c r="T27" s="138"/>
      <c r="U27" s="138"/>
      <c r="V27" s="138"/>
      <c r="W27" s="138"/>
      <c r="X27" s="138"/>
    </row>
    <row r="28" spans="1:24" ht="30">
      <c r="A28" s="138"/>
      <c r="B28" s="111" t="s">
        <v>65</v>
      </c>
      <c r="C28" s="288"/>
      <c r="D28" s="169" cm="1">
        <f t="array" ref="D28:F30">'Balance Sheet'!B30:D32</f>
        <v>-916</v>
      </c>
      <c r="E28" s="169">
        <v>-821</v>
      </c>
      <c r="F28" s="169">
        <v>-737</v>
      </c>
      <c r="G28" s="76"/>
      <c r="H28" s="100">
        <f>F28+H59</f>
        <v>-672</v>
      </c>
      <c r="I28" s="100">
        <f>H28+I59</f>
        <v>-607</v>
      </c>
      <c r="J28" s="100">
        <f>I28+J59</f>
        <v>-542</v>
      </c>
      <c r="K28" s="320" t="str">
        <f t="shared" ca="1" si="5"/>
        <v>=F28+H59</v>
      </c>
      <c r="L28" s="113" t="s">
        <v>22</v>
      </c>
      <c r="M28" s="113" t="s">
        <v>22</v>
      </c>
      <c r="N28" s="76"/>
      <c r="O28" s="76"/>
      <c r="P28" s="138"/>
      <c r="Q28" s="28"/>
      <c r="R28" s="138"/>
      <c r="S28" s="138"/>
      <c r="T28" s="138"/>
      <c r="U28" s="138"/>
      <c r="V28" s="138"/>
      <c r="W28" s="138"/>
      <c r="X28" s="138"/>
    </row>
    <row r="29" spans="1:24" ht="15.75" customHeight="1">
      <c r="A29" s="138"/>
      <c r="B29" s="111" t="s">
        <v>66</v>
      </c>
      <c r="C29" s="288"/>
      <c r="D29" s="169">
        <v>-12189</v>
      </c>
      <c r="E29" s="169">
        <v>-12220</v>
      </c>
      <c r="F29" s="169">
        <v>-11900</v>
      </c>
      <c r="G29" s="76"/>
      <c r="H29" s="100">
        <f>F29+H60</f>
        <v>-11900</v>
      </c>
      <c r="I29" s="100">
        <f>H29+I60</f>
        <v>-11900</v>
      </c>
      <c r="J29" s="100">
        <f>I29+J60</f>
        <v>-11900</v>
      </c>
      <c r="K29" s="320" t="str">
        <f t="shared" ca="1" si="5"/>
        <v>=F29+H60</v>
      </c>
      <c r="L29" s="110"/>
      <c r="M29" s="76"/>
      <c r="N29" s="76"/>
      <c r="O29" s="76"/>
      <c r="P29" s="138"/>
      <c r="Q29" s="138"/>
      <c r="R29" s="138"/>
      <c r="S29" s="138"/>
      <c r="T29" s="138"/>
      <c r="U29" s="138"/>
      <c r="V29" s="138"/>
      <c r="W29" s="138"/>
      <c r="X29" s="138"/>
    </row>
    <row r="30" spans="1:24" ht="15">
      <c r="A30" s="138"/>
      <c r="B30" s="111" t="s">
        <v>67</v>
      </c>
      <c r="C30" s="288"/>
      <c r="D30" s="169">
        <v>-123382</v>
      </c>
      <c r="E30" s="169">
        <v>-129736</v>
      </c>
      <c r="F30" s="169">
        <v>-133379</v>
      </c>
      <c r="G30" s="76"/>
      <c r="H30" s="100">
        <f>F30-H58</f>
        <v>-139379</v>
      </c>
      <c r="I30" s="100">
        <f>H30-I58</f>
        <v>-143379</v>
      </c>
      <c r="J30" s="100">
        <f>I30-J58</f>
        <v>-147379</v>
      </c>
      <c r="K30" s="320" t="str">
        <f t="shared" ca="1" si="5"/>
        <v>=F30-H58</v>
      </c>
      <c r="L30" s="113" t="s">
        <v>22</v>
      </c>
      <c r="M30" s="76"/>
      <c r="N30" s="76"/>
      <c r="O30" s="76"/>
      <c r="P30" s="138"/>
      <c r="Q30" s="138"/>
      <c r="R30" s="138"/>
      <c r="S30" s="138"/>
      <c r="T30" s="138"/>
      <c r="U30" s="138"/>
      <c r="V30" s="138"/>
      <c r="W30" s="138"/>
      <c r="X30" s="138"/>
    </row>
    <row r="31" spans="1:24" ht="29.45" customHeight="1" thickBot="1">
      <c r="A31" s="138"/>
      <c r="B31" s="111" t="s">
        <v>68</v>
      </c>
      <c r="C31" s="288"/>
      <c r="D31" s="169" cm="1">
        <f t="array" ref="D31:F32">'Balance Sheet'!B33:D34</f>
        <v>112429</v>
      </c>
      <c r="E31" s="169">
        <v>118170</v>
      </c>
      <c r="F31" s="169">
        <v>123811</v>
      </c>
      <c r="G31" s="76"/>
      <c r="H31" s="100">
        <f ca="1">F31+('IS Hist Forecast'!H13-'IS Hist Forecast'!H16)</f>
        <v>132609.13837397355</v>
      </c>
      <c r="I31" s="100">
        <f ca="1">H31+('IS Hist Forecast'!I13-'IS Hist Forecast'!I16)</f>
        <v>142577.02317514183</v>
      </c>
      <c r="J31" s="100">
        <f ca="1">I31+('IS Hist Forecast'!J13-'IS Hist Forecast'!J16)</f>
        <v>153802.87623070012</v>
      </c>
      <c r="K31" s="320" t="str">
        <f t="shared" ca="1" si="5"/>
        <v>=F31+('IS Hist Forecast'!H13-'IS Hist Forecast'!H16)</v>
      </c>
      <c r="L31" s="111"/>
      <c r="M31" s="76"/>
      <c r="N31" s="76"/>
      <c r="O31" s="76"/>
      <c r="P31" s="138"/>
      <c r="Q31" s="138"/>
      <c r="R31" s="138"/>
      <c r="S31" s="138"/>
      <c r="T31" s="138"/>
      <c r="U31" s="138"/>
      <c r="V31" s="138"/>
      <c r="W31" s="138"/>
      <c r="X31" s="138"/>
    </row>
    <row r="32" spans="1:24" ht="15" customHeight="1" thickBot="1">
      <c r="A32" s="30"/>
      <c r="B32" s="111" t="s">
        <v>69</v>
      </c>
      <c r="C32" s="288"/>
      <c r="D32" s="169">
        <v>265</v>
      </c>
      <c r="E32" s="169">
        <v>288</v>
      </c>
      <c r="F32" s="169">
        <v>272</v>
      </c>
      <c r="G32" s="76"/>
      <c r="H32" s="196">
        <f>F32+H61</f>
        <v>272</v>
      </c>
      <c r="I32" s="196">
        <f>H32+I61</f>
        <v>272</v>
      </c>
      <c r="J32" s="196">
        <f>I32+J61</f>
        <v>272</v>
      </c>
      <c r="K32" s="320" t="str">
        <f t="shared" ca="1" si="5"/>
        <v>=F32+H61</v>
      </c>
      <c r="L32" s="443" t="s">
        <v>133</v>
      </c>
      <c r="M32" s="444"/>
      <c r="N32" s="444"/>
      <c r="O32" s="444"/>
      <c r="P32" s="444"/>
      <c r="Q32" s="444"/>
      <c r="R32" s="444"/>
      <c r="S32" s="445"/>
      <c r="T32" s="111"/>
      <c r="U32" s="111"/>
      <c r="V32" s="111"/>
      <c r="W32" s="111"/>
      <c r="X32" s="111"/>
    </row>
    <row r="33" spans="1:26" ht="29.25" customHeight="1" thickBot="1">
      <c r="A33" s="138"/>
      <c r="B33" s="111" t="s">
        <v>70</v>
      </c>
      <c r="C33" s="288"/>
      <c r="D33" s="169">
        <f>SUM(D26:D32)</f>
        <v>46854</v>
      </c>
      <c r="E33" s="169">
        <f>SUM(E26:E32)</f>
        <v>47065</v>
      </c>
      <c r="F33" s="169">
        <f>SUM(F26:F32)</f>
        <v>50558</v>
      </c>
      <c r="G33" s="76"/>
      <c r="H33" s="134">
        <f ca="1">SUM(H26:H32)</f>
        <v>53421.138373973547</v>
      </c>
      <c r="I33" s="134">
        <f t="shared" ref="I33:J33" ca="1" si="8">SUM(I26:I32)</f>
        <v>59454.023175141832</v>
      </c>
      <c r="J33" s="134">
        <f t="shared" ca="1" si="8"/>
        <v>66744.876230700116</v>
      </c>
      <c r="K33" s="320" t="str">
        <f t="shared" ca="1" si="5"/>
        <v>=SUM(H26:H32)</v>
      </c>
      <c r="L33" s="443" t="s">
        <v>134</v>
      </c>
      <c r="M33" s="444"/>
      <c r="N33" s="444"/>
      <c r="O33" s="444"/>
      <c r="P33" s="444"/>
      <c r="Q33" s="444"/>
      <c r="R33" s="444"/>
      <c r="S33" s="445"/>
      <c r="T33" s="138"/>
      <c r="U33" s="138"/>
      <c r="V33" s="138"/>
      <c r="W33" s="138"/>
      <c r="X33" s="138"/>
      <c r="Y33" s="138"/>
      <c r="Z33" s="138"/>
    </row>
    <row r="34" spans="1:26" ht="16.5" customHeight="1">
      <c r="A34" s="30" t="s">
        <v>22</v>
      </c>
      <c r="B34" s="111" t="s">
        <v>71</v>
      </c>
      <c r="C34" s="288"/>
      <c r="D34" s="169" t="e">
        <f ca="1">D24+D33</f>
        <v>#NAME?</v>
      </c>
      <c r="E34" s="169">
        <f ca="1">E24+E33</f>
        <v>120829</v>
      </c>
      <c r="F34" s="169">
        <f ca="1">F24+F33</f>
        <v>122370</v>
      </c>
      <c r="G34" s="76"/>
      <c r="H34" s="134">
        <f ca="1">H33+H24</f>
        <v>130654.0416837962</v>
      </c>
      <c r="I34" s="134">
        <f t="shared" ref="I34:J34" ca="1" si="9">I33+I24</f>
        <v>136156.90722384086</v>
      </c>
      <c r="J34" s="134">
        <f t="shared" ca="1" si="9"/>
        <v>141984.8859379722</v>
      </c>
      <c r="K34" s="320" t="str">
        <f t="shared" ca="1" si="5"/>
        <v>=H33+H24</v>
      </c>
      <c r="L34" s="113" t="s">
        <v>22</v>
      </c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6.5" customHeight="1">
      <c r="A35" s="30"/>
      <c r="B35" s="111"/>
      <c r="C35" s="288"/>
      <c r="D35" s="138"/>
      <c r="E35" s="138"/>
      <c r="F35" s="28"/>
      <c r="G35" s="76"/>
      <c r="H35" s="28" t="s">
        <v>22</v>
      </c>
      <c r="I35" s="28" t="s">
        <v>22</v>
      </c>
      <c r="J35" s="28" t="s">
        <v>22</v>
      </c>
      <c r="K35" s="156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21" customHeight="1">
      <c r="A36" s="138"/>
      <c r="B36" s="111" t="s">
        <v>72</v>
      </c>
      <c r="C36" s="288"/>
      <c r="D36" s="394" cm="1">
        <f t="array" ref="D36:F39">'Balance Sheet'!B37:D40</f>
        <v>4009.2</v>
      </c>
      <c r="E36" s="394">
        <v>4009.2</v>
      </c>
      <c r="F36" s="394">
        <v>4009.2</v>
      </c>
      <c r="G36" s="28"/>
      <c r="H36" s="113" t="s">
        <v>22</v>
      </c>
      <c r="I36" s="113" t="s">
        <v>22</v>
      </c>
      <c r="J36" s="113" t="s">
        <v>22</v>
      </c>
      <c r="K36" s="9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30">
      <c r="A37" s="138"/>
      <c r="B37" s="111" t="s">
        <v>73</v>
      </c>
      <c r="C37" s="288"/>
      <c r="D37" s="394">
        <v>1</v>
      </c>
      <c r="E37" s="394">
        <v>1</v>
      </c>
      <c r="F37" s="394">
        <v>1</v>
      </c>
      <c r="G37" s="101"/>
      <c r="H37" s="113" t="s">
        <v>22</v>
      </c>
      <c r="I37" s="113" t="s">
        <v>22</v>
      </c>
      <c r="J37" s="113" t="s">
        <v>22</v>
      </c>
      <c r="K37" s="9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30">
      <c r="A38" s="138"/>
      <c r="B38" s="111" t="s">
        <v>74</v>
      </c>
      <c r="C38" s="288"/>
      <c r="D38" s="394">
        <v>10000</v>
      </c>
      <c r="E38" s="394">
        <v>10000</v>
      </c>
      <c r="F38" s="394">
        <v>10000</v>
      </c>
      <c r="G38" s="138"/>
      <c r="H38" s="111"/>
      <c r="I38" s="111"/>
      <c r="J38" s="111"/>
      <c r="K38" s="10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5">
      <c r="A39" s="138"/>
      <c r="B39" s="111" t="s">
        <v>75</v>
      </c>
      <c r="C39" s="288"/>
      <c r="D39" s="394">
        <v>1615.4</v>
      </c>
      <c r="E39" s="394">
        <v>1647.1</v>
      </c>
      <c r="F39" s="394">
        <v>1652.2</v>
      </c>
      <c r="G39" s="103"/>
      <c r="H39" s="111"/>
      <c r="I39" s="111"/>
      <c r="J39" s="111"/>
      <c r="K39" s="103"/>
      <c r="L39" s="111"/>
      <c r="M39" s="76"/>
      <c r="N39" s="76"/>
      <c r="O39" s="76"/>
      <c r="P39" s="7"/>
      <c r="Q39" s="7"/>
      <c r="R39" s="7"/>
      <c r="S39" s="138"/>
      <c r="T39" s="138"/>
      <c r="U39" s="138"/>
      <c r="V39" s="138"/>
      <c r="W39" s="138"/>
      <c r="X39" s="138"/>
      <c r="Y39" s="138"/>
      <c r="Z39" s="138"/>
    </row>
    <row r="40" spans="1:26" ht="15">
      <c r="A40" s="138"/>
      <c r="B40" s="111"/>
      <c r="C40" s="138"/>
      <c r="D40" s="111"/>
      <c r="E40" s="111"/>
      <c r="F40" s="111"/>
      <c r="G40" s="111"/>
      <c r="H40" s="111"/>
      <c r="I40" s="111"/>
      <c r="J40" s="111"/>
      <c r="K40" s="103"/>
      <c r="L40" s="111"/>
      <c r="M40" s="76"/>
      <c r="N40" s="76"/>
      <c r="O40" s="76"/>
      <c r="P40" s="7"/>
      <c r="Q40" s="7"/>
      <c r="R40" s="7"/>
      <c r="S40" s="138"/>
      <c r="T40" s="138"/>
      <c r="U40" s="138"/>
      <c r="V40" s="138"/>
      <c r="W40" s="138"/>
      <c r="X40" s="138"/>
      <c r="Y40" s="138"/>
      <c r="Z40" s="138"/>
    </row>
    <row r="41" spans="1:26" ht="15">
      <c r="A41" s="138"/>
      <c r="B41"/>
      <c r="C41" s="138"/>
      <c r="D41"/>
      <c r="E41"/>
      <c r="F41"/>
      <c r="G41"/>
      <c r="H41"/>
      <c r="I41"/>
      <c r="J41"/>
      <c r="K41" s="139"/>
      <c r="L41" s="111"/>
      <c r="M41" s="76"/>
      <c r="N41" s="76"/>
      <c r="O41" s="76"/>
      <c r="P41" s="7"/>
      <c r="Q41" s="7"/>
      <c r="R41" s="7"/>
      <c r="S41" s="138"/>
      <c r="T41" s="138"/>
      <c r="U41" s="138"/>
      <c r="V41" s="138"/>
      <c r="W41" s="138"/>
      <c r="X41" s="138"/>
      <c r="Y41" s="138"/>
      <c r="Z41" s="138"/>
    </row>
    <row r="42" spans="1:26" ht="15">
      <c r="A42" s="138"/>
      <c r="B42" s="98" t="s">
        <v>135</v>
      </c>
      <c r="C42" s="138"/>
      <c r="D42" s="138"/>
      <c r="E42" s="138"/>
      <c r="F42" s="138"/>
      <c r="G42" s="104"/>
      <c r="H42"/>
      <c r="I42"/>
      <c r="J42"/>
      <c r="K42" s="139"/>
      <c r="L42" s="111"/>
      <c r="M42" s="76"/>
      <c r="N42" s="76"/>
      <c r="O42" s="76"/>
      <c r="P42" s="7"/>
      <c r="Q42" s="7"/>
      <c r="R42" s="7"/>
      <c r="S42" s="138"/>
      <c r="T42" s="138"/>
      <c r="U42" s="138"/>
      <c r="V42" s="138"/>
      <c r="W42" s="138"/>
      <c r="X42" s="138"/>
      <c r="Y42" s="138"/>
      <c r="Z42" s="138"/>
    </row>
    <row r="43" spans="1:26" ht="15">
      <c r="A43" s="138" t="s">
        <v>136</v>
      </c>
      <c r="B43" s="111" t="s">
        <v>137</v>
      </c>
      <c r="C43" s="138"/>
      <c r="D43" s="432"/>
      <c r="E43" s="432"/>
      <c r="F43" s="432"/>
      <c r="G43" s="104"/>
      <c r="H43" s="248">
        <v>14000</v>
      </c>
      <c r="I43" s="248">
        <v>14000</v>
      </c>
      <c r="J43" s="248">
        <v>14000</v>
      </c>
      <c r="K43" s="139"/>
      <c r="L43" s="110"/>
      <c r="M43"/>
      <c r="N43"/>
      <c r="O43"/>
      <c r="P43" s="7"/>
      <c r="Q43" s="7"/>
      <c r="R43" s="7"/>
      <c r="S43" s="138"/>
      <c r="T43" s="138"/>
      <c r="U43" s="138"/>
      <c r="V43" s="138"/>
      <c r="W43" s="138"/>
      <c r="X43" s="138"/>
      <c r="Y43" s="138"/>
      <c r="Z43" s="138"/>
    </row>
    <row r="44" spans="1:26" ht="45">
      <c r="A44" s="138" t="s">
        <v>136</v>
      </c>
      <c r="B44" s="111" t="s">
        <v>39</v>
      </c>
      <c r="C44" s="138"/>
      <c r="D44" s="195">
        <f>D5/('IS Hist Forecast'!D4/365)</f>
        <v>23.410216119819921</v>
      </c>
      <c r="E44" s="195">
        <f>E5/('IS Hist Forecast'!E4/365)</f>
        <v>24.350840182425678</v>
      </c>
      <c r="F44" s="195">
        <f>F5/('IS Hist Forecast'!F4/365)</f>
        <v>26.571829745713298</v>
      </c>
      <c r="G44" s="157"/>
      <c r="H44" s="249">
        <f t="shared" ref="H44:J48" si="10">AVERAGE($D44:$F44)</f>
        <v>24.777628682652963</v>
      </c>
      <c r="I44" s="249">
        <f t="shared" si="10"/>
        <v>24.777628682652963</v>
      </c>
      <c r="J44" s="249">
        <f t="shared" si="10"/>
        <v>24.777628682652963</v>
      </c>
      <c r="K44" s="320" t="str">
        <f ca="1">_xlfn.FORMULATEXT(H44)</f>
        <v>=AVERAGE($D44:$F44)</v>
      </c>
      <c r="L44" s="110"/>
      <c r="M44" s="76"/>
      <c r="N44" s="76"/>
      <c r="O44" s="76"/>
      <c r="P44" s="7"/>
      <c r="Q44" s="7"/>
      <c r="R44" s="7"/>
      <c r="S44" s="138"/>
      <c r="T44" s="138"/>
      <c r="U44" s="138"/>
      <c r="V44" s="138"/>
      <c r="W44" s="138"/>
      <c r="X44" s="138"/>
      <c r="Y44" s="138"/>
      <c r="Z44" s="138"/>
    </row>
    <row r="45" spans="1:26" ht="30">
      <c r="A45" s="138" t="s">
        <v>136</v>
      </c>
      <c r="B45" s="111" t="s">
        <v>41</v>
      </c>
      <c r="C45" s="138"/>
      <c r="D45" s="195">
        <f>D7/('IS Hist Forecast'!D5/365)</f>
        <v>18.770785397442893</v>
      </c>
      <c r="E45" s="195">
        <f>E7/('IS Hist Forecast'!E5/365)</f>
        <v>15.902595884003743</v>
      </c>
      <c r="F45" s="195">
        <f>F7/('IS Hist Forecast'!F5/365)</f>
        <v>14.448810223266745</v>
      </c>
      <c r="G45" s="138"/>
      <c r="H45" s="249">
        <f t="shared" si="10"/>
        <v>16.374063834904462</v>
      </c>
      <c r="I45" s="249">
        <f t="shared" si="10"/>
        <v>16.374063834904462</v>
      </c>
      <c r="J45" s="249">
        <f t="shared" si="10"/>
        <v>16.374063834904462</v>
      </c>
      <c r="K45" s="320" t="str">
        <f ca="1">_xlfn.FORMULATEXT(H45)</f>
        <v>=AVERAGE($D45:$F45)</v>
      </c>
      <c r="L45" s="111"/>
      <c r="M45" s="76"/>
      <c r="N45" s="76"/>
      <c r="O45" s="76"/>
      <c r="P45" s="7"/>
      <c r="Q45" s="7"/>
      <c r="R45" s="7"/>
      <c r="S45" s="138"/>
      <c r="T45" s="138"/>
      <c r="U45" s="138"/>
      <c r="V45" s="138"/>
      <c r="W45" s="138"/>
      <c r="X45" s="138"/>
      <c r="Y45" s="138"/>
      <c r="Z45" s="138"/>
    </row>
    <row r="46" spans="1:26" ht="30">
      <c r="A46" s="138" t="s">
        <v>136</v>
      </c>
      <c r="B46" s="111" t="s">
        <v>42</v>
      </c>
      <c r="C46" s="138"/>
      <c r="D46" s="195">
        <f>D8/('IS Hist Forecast'!D$5/365)</f>
        <v>7.4113433119054957</v>
      </c>
      <c r="E46" s="195">
        <f>E8/('IS Hist Forecast'!E5/365)</f>
        <v>8.1604303086997199</v>
      </c>
      <c r="F46" s="195">
        <f>F8/('IS Hist Forecast'!F5/365)</f>
        <v>8.3011408147277717</v>
      </c>
      <c r="G46" s="138"/>
      <c r="H46" s="249">
        <f t="shared" si="10"/>
        <v>7.9576381451109954</v>
      </c>
      <c r="I46" s="249">
        <f t="shared" si="10"/>
        <v>7.9576381451109954</v>
      </c>
      <c r="J46" s="249">
        <f t="shared" si="10"/>
        <v>7.9576381451109954</v>
      </c>
      <c r="K46" s="320" t="str">
        <f ca="1">_xlfn.FORMULATEXT(H46)</f>
        <v>=AVERAGE($D46:$F46)</v>
      </c>
      <c r="L46" s="111"/>
      <c r="M46" s="76"/>
      <c r="N46" s="76"/>
      <c r="O46" s="76"/>
      <c r="P46" s="7"/>
      <c r="Q46" s="7"/>
      <c r="R46" s="7"/>
      <c r="S46" s="138"/>
      <c r="T46" s="138"/>
      <c r="U46" s="138"/>
      <c r="V46" s="138"/>
      <c r="W46" s="138"/>
      <c r="X46" s="138"/>
      <c r="Y46" s="138"/>
      <c r="Z46" s="138"/>
    </row>
    <row r="47" spans="1:26" ht="30">
      <c r="A47" s="138" t="s">
        <v>136</v>
      </c>
      <c r="B47" s="189" t="s">
        <v>43</v>
      </c>
      <c r="C47" s="138"/>
      <c r="D47" s="195">
        <f>D9/('IS Hist Forecast'!D$5/365)</f>
        <v>33.766634248167563</v>
      </c>
      <c r="E47" s="195">
        <f>E9/('IS Hist Forecast'!E$5/365)</f>
        <v>36.312207670720298</v>
      </c>
      <c r="F47" s="195">
        <f>F9/('IS Hist Forecast'!F$5/365)</f>
        <v>39.941980023501763</v>
      </c>
      <c r="G47" s="138"/>
      <c r="H47" s="249">
        <f t="shared" si="10"/>
        <v>36.673607314129875</v>
      </c>
      <c r="I47" s="249">
        <f t="shared" si="10"/>
        <v>36.673607314129875</v>
      </c>
      <c r="J47" s="249">
        <f t="shared" si="10"/>
        <v>36.673607314129875</v>
      </c>
      <c r="K47" s="320" t="str">
        <f ca="1">_xlfn.FORMULATEXT(H47)</f>
        <v>=AVERAGE($D47:$F47)</v>
      </c>
      <c r="L47" s="111"/>
      <c r="M47" s="76"/>
      <c r="N47" s="76"/>
      <c r="O47" s="76"/>
      <c r="P47" s="7"/>
      <c r="Q47" s="7"/>
      <c r="R47" s="7"/>
      <c r="S47" s="138"/>
      <c r="T47" s="138"/>
      <c r="U47" s="138"/>
      <c r="V47" s="138"/>
      <c r="W47" s="138"/>
      <c r="X47" s="138"/>
      <c r="Y47" s="138"/>
      <c r="Z47" s="138"/>
    </row>
    <row r="48" spans="1:26" ht="30">
      <c r="A48" s="138" t="s">
        <v>136</v>
      </c>
      <c r="B48" s="111" t="s">
        <v>45</v>
      </c>
      <c r="C48" s="138"/>
      <c r="D48" s="306">
        <f>D11/'IS Hist Forecast'!D4</f>
        <v>2.9580854752017161E-2</v>
      </c>
      <c r="E48" s="306">
        <f>E11/'IS Hist Forecast'!E4</f>
        <v>2.2656878764968417E-2</v>
      </c>
      <c r="F48" s="306">
        <f>F11/'IS Hist Forecast'!F4</f>
        <v>2.491700282011923E-2</v>
      </c>
      <c r="G48" s="157"/>
      <c r="H48" s="249">
        <f t="shared" si="10"/>
        <v>2.5718245445701601E-2</v>
      </c>
      <c r="I48" s="249">
        <f t="shared" si="10"/>
        <v>2.5718245445701601E-2</v>
      </c>
      <c r="J48" s="249">
        <f t="shared" si="10"/>
        <v>2.5718245445701601E-2</v>
      </c>
      <c r="K48" s="320" t="str">
        <f ca="1">_xlfn.FORMULATEXT(H48)</f>
        <v>=AVERAGE($D48:$F48)</v>
      </c>
      <c r="L48" s="111"/>
      <c r="M48" s="76"/>
      <c r="N48" s="76"/>
      <c r="O48" s="76"/>
      <c r="P48" s="7"/>
      <c r="Q48" s="7"/>
      <c r="R48" s="7"/>
      <c r="S48" s="138"/>
      <c r="T48" s="138"/>
      <c r="U48" s="138"/>
      <c r="V48" s="138"/>
      <c r="W48" s="138"/>
      <c r="X48" s="138"/>
      <c r="Y48" s="138"/>
      <c r="Z48" s="138"/>
    </row>
    <row r="49" spans="1:15" ht="30">
      <c r="A49" s="138" t="s">
        <v>136</v>
      </c>
      <c r="B49" s="111" t="s">
        <v>138</v>
      </c>
      <c r="C49" s="138"/>
      <c r="D49" s="305"/>
      <c r="E49" s="305"/>
      <c r="F49" s="305"/>
      <c r="G49" s="138"/>
      <c r="H49" s="321">
        <v>0.2</v>
      </c>
      <c r="I49" s="321">
        <v>0.2</v>
      </c>
      <c r="J49" s="321">
        <v>0.2</v>
      </c>
      <c r="K49" s="138" t="s">
        <v>139</v>
      </c>
      <c r="L49" s="111"/>
      <c r="M49" s="76"/>
      <c r="N49" s="76"/>
      <c r="O49" s="76"/>
    </row>
    <row r="50" spans="1:15" ht="30">
      <c r="A50" s="138" t="s">
        <v>136</v>
      </c>
      <c r="B50" s="189" t="s">
        <v>140</v>
      </c>
      <c r="C50" s="138"/>
      <c r="D50" s="195">
        <f>D14/'IS Hist Forecast'!D4</f>
        <v>0.13694239714666967</v>
      </c>
      <c r="E50" s="195">
        <f>E14/'IS Hist Forecast'!E4</f>
        <v>0.14425773723873864</v>
      </c>
      <c r="F50" s="195">
        <f>F14/'IS Hist Forecast'!F4</f>
        <v>0.15657016385249706</v>
      </c>
      <c r="G50" s="138"/>
      <c r="H50" s="249">
        <f t="shared" ref="H50:J52" si="11">AVERAGE($D50:$F50)</f>
        <v>0.14592343274596845</v>
      </c>
      <c r="I50" s="249">
        <f t="shared" si="11"/>
        <v>0.14592343274596845</v>
      </c>
      <c r="J50" s="249">
        <f t="shared" si="11"/>
        <v>0.14592343274596845</v>
      </c>
      <c r="K50" s="320" t="str">
        <f ca="1">_xlfn.FORMULATEXT(H50)</f>
        <v>=AVERAGE($D50:$F50)</v>
      </c>
      <c r="L50" s="111"/>
      <c r="M50" s="76"/>
      <c r="N50" s="76"/>
      <c r="O50" s="76"/>
    </row>
    <row r="51" spans="1:15" ht="15">
      <c r="A51" s="138" t="s">
        <v>141</v>
      </c>
      <c r="B51" s="111" t="s">
        <v>53</v>
      </c>
      <c r="C51" s="138"/>
      <c r="D51" s="195">
        <f>D17/('IS Hist Forecast'!D$5/365)</f>
        <v>128.85001304646914</v>
      </c>
      <c r="E51" s="195">
        <f>E17/('IS Hist Forecast'!E5/365)</f>
        <v>124.60874649204865</v>
      </c>
      <c r="F51" s="195">
        <f>F17/('IS Hist Forecast'!F5/365)</f>
        <v>137.29497160203681</v>
      </c>
      <c r="G51" s="138"/>
      <c r="H51" s="249">
        <f t="shared" si="11"/>
        <v>130.25124371351819</v>
      </c>
      <c r="I51" s="249">
        <f t="shared" si="11"/>
        <v>130.25124371351819</v>
      </c>
      <c r="J51" s="249">
        <f t="shared" si="11"/>
        <v>130.25124371351819</v>
      </c>
      <c r="K51" s="320" t="str">
        <f ca="1">_xlfn.FORMULATEXT(H51)</f>
        <v>=AVERAGE($D51:$F51)</v>
      </c>
      <c r="L51" s="111"/>
      <c r="M51" s="76"/>
      <c r="N51" s="76"/>
      <c r="O51" s="76"/>
    </row>
    <row r="52" spans="1:15" ht="15">
      <c r="A52" s="138" t="s">
        <v>141</v>
      </c>
      <c r="B52" s="111" t="s">
        <v>54</v>
      </c>
      <c r="C52" s="138"/>
      <c r="D52" s="195">
        <f>D18/'IS Hist Forecast'!D$4</f>
        <v>0.11914649506777907</v>
      </c>
      <c r="E52" s="195">
        <f>E18/'IS Hist Forecast'!E$4</f>
        <v>0.1332707362875887</v>
      </c>
      <c r="F52" s="195">
        <f>F18/'IS Hist Forecast'!F$4</f>
        <v>0.13176025416770784</v>
      </c>
      <c r="G52" s="138"/>
      <c r="H52" s="249">
        <f t="shared" si="11"/>
        <v>0.1280591618410252</v>
      </c>
      <c r="I52" s="249">
        <f t="shared" si="11"/>
        <v>0.1280591618410252</v>
      </c>
      <c r="J52" s="249">
        <f t="shared" si="11"/>
        <v>0.1280591618410252</v>
      </c>
      <c r="K52" s="320" t="str">
        <f ca="1">_xlfn.FORMULATEXT(H52)</f>
        <v>=AVERAGE($D52:$F52)</v>
      </c>
      <c r="L52" s="111"/>
      <c r="M52" s="76"/>
      <c r="N52" s="76"/>
      <c r="O52" s="76"/>
    </row>
    <row r="53" spans="1:15" ht="15">
      <c r="A53" s="138" t="s">
        <v>141</v>
      </c>
      <c r="B53" s="138" t="s">
        <v>142</v>
      </c>
      <c r="C53" s="138"/>
      <c r="D53" s="138"/>
      <c r="E53" s="138"/>
      <c r="F53" s="138"/>
      <c r="G53" s="138"/>
      <c r="H53" s="197">
        <v>0</v>
      </c>
      <c r="I53" s="197">
        <v>0</v>
      </c>
      <c r="J53" s="197">
        <v>0</v>
      </c>
      <c r="K53" s="320"/>
      <c r="L53" s="111"/>
      <c r="M53" s="75"/>
      <c r="N53" s="75"/>
      <c r="O53" s="75"/>
    </row>
    <row r="54" spans="1:15">
      <c r="A54" s="138" t="s">
        <v>141</v>
      </c>
      <c r="B54" s="138" t="s">
        <v>143</v>
      </c>
      <c r="C54" s="138"/>
      <c r="D54" s="138"/>
      <c r="E54" s="138"/>
      <c r="F54" s="138"/>
      <c r="G54" s="138"/>
      <c r="H54" s="197">
        <v>0</v>
      </c>
      <c r="I54" s="197">
        <v>0</v>
      </c>
      <c r="J54" s="197">
        <v>0</v>
      </c>
      <c r="K54" s="320"/>
      <c r="L54" s="273"/>
      <c r="M54" s="138"/>
      <c r="N54" s="138"/>
      <c r="O54" s="138"/>
    </row>
    <row r="55" spans="1:15" ht="30">
      <c r="A55" s="138" t="s">
        <v>144</v>
      </c>
      <c r="B55" s="111" t="s">
        <v>145</v>
      </c>
      <c r="C55" s="138"/>
      <c r="D55" s="195">
        <f>D22/'IS Hist Forecast'!D4</f>
        <v>8.4914013493459034E-2</v>
      </c>
      <c r="E55" s="195">
        <f>E22/'IS Hist Forecast'!E4</f>
        <v>7.8994219935126703E-2</v>
      </c>
      <c r="F55" s="195">
        <f>F22/'IS Hist Forecast'!F4</f>
        <v>7.753542997893835E-2</v>
      </c>
      <c r="G55" s="138"/>
      <c r="H55" s="249">
        <f>AVERAGE($D55:$F55)</f>
        <v>8.0481221135841371E-2</v>
      </c>
      <c r="I55" s="249">
        <f>AVERAGE($D55:$F55)</f>
        <v>8.0481221135841371E-2</v>
      </c>
      <c r="J55" s="249">
        <f>AVERAGE($D55:$F55)</f>
        <v>8.0481221135841371E-2</v>
      </c>
      <c r="K55" s="320" t="str">
        <f ca="1">_xlfn.FORMULATEXT(H55)</f>
        <v>=AVERAGE($D55:$F55)</v>
      </c>
      <c r="L55" s="273"/>
      <c r="M55" s="138"/>
      <c r="N55" s="138"/>
      <c r="O55" s="138"/>
    </row>
    <row r="56" spans="1:15" ht="15">
      <c r="A56" s="138" t="s">
        <v>144</v>
      </c>
      <c r="B56" s="111" t="s">
        <v>146</v>
      </c>
      <c r="C56" s="138"/>
      <c r="D56" s="195">
        <f>D23/'IS Hist Forecast'!D4</f>
        <v>9.4977988950827444E-2</v>
      </c>
      <c r="E56" s="195">
        <f>E23/'IS Hist Forecast'!E4</f>
        <v>8.721313074653074E-2</v>
      </c>
      <c r="F56" s="195">
        <f>F23/'IS Hist Forecast'!F4</f>
        <v>7.6131319982389131E-2</v>
      </c>
      <c r="G56" s="138"/>
      <c r="H56" s="249">
        <f>AVERAGE($D56:$F56)</f>
        <v>8.6107479893249114E-2</v>
      </c>
      <c r="I56" s="249">
        <f>AVERAGE($D56:$F56)</f>
        <v>8.6107479893249114E-2</v>
      </c>
      <c r="J56" s="249">
        <f>AVERAGE($D56:$F56)</f>
        <v>8.6107479893249114E-2</v>
      </c>
      <c r="K56" s="320" t="str">
        <f ca="1">_xlfn.FORMULATEXT(H56)</f>
        <v>=AVERAGE($D56:$F56)</v>
      </c>
      <c r="L56" s="273"/>
      <c r="M56" s="138"/>
      <c r="N56" s="138"/>
      <c r="O56" s="138"/>
    </row>
    <row r="57" spans="1:15">
      <c r="A57" s="138" t="s">
        <v>141</v>
      </c>
      <c r="B57" s="138" t="s">
        <v>147</v>
      </c>
      <c r="C57" s="138"/>
      <c r="D57" s="138"/>
      <c r="E57" s="138"/>
      <c r="F57" s="138"/>
      <c r="G57" s="138"/>
      <c r="H57" s="197">
        <v>0</v>
      </c>
      <c r="I57" s="197">
        <v>0</v>
      </c>
      <c r="J57" s="197">
        <v>0</v>
      </c>
      <c r="K57" s="320"/>
      <c r="L57" s="273"/>
      <c r="M57" s="138"/>
      <c r="N57" s="138"/>
      <c r="O57" s="138"/>
    </row>
    <row r="58" spans="1:15">
      <c r="A58" s="138" t="s">
        <v>141</v>
      </c>
      <c r="B58" s="138" t="s">
        <v>148</v>
      </c>
      <c r="C58" s="138"/>
      <c r="D58" s="138"/>
      <c r="E58" s="138"/>
      <c r="F58" s="138"/>
      <c r="G58" s="138"/>
      <c r="H58" s="406">
        <v>6000</v>
      </c>
      <c r="I58" s="406">
        <v>4000</v>
      </c>
      <c r="J58" s="406">
        <v>4000</v>
      </c>
      <c r="K58" s="320"/>
      <c r="L58" s="273"/>
      <c r="M58" s="138"/>
      <c r="N58" s="138"/>
      <c r="O58" s="138"/>
    </row>
    <row r="59" spans="1:15" ht="30">
      <c r="A59" s="138" t="s">
        <v>141</v>
      </c>
      <c r="B59" s="111" t="s">
        <v>65</v>
      </c>
      <c r="C59" s="138"/>
      <c r="D59" s="138"/>
      <c r="E59" s="138"/>
      <c r="F59" s="138"/>
      <c r="G59" s="138"/>
      <c r="H59" s="375">
        <v>65</v>
      </c>
      <c r="I59" s="375">
        <v>65</v>
      </c>
      <c r="J59" s="375">
        <v>65</v>
      </c>
      <c r="K59" s="320"/>
      <c r="L59" s="273"/>
      <c r="M59" s="138"/>
      <c r="N59" s="138"/>
      <c r="O59" s="138"/>
    </row>
    <row r="60" spans="1:15" ht="45">
      <c r="A60" s="138" t="s">
        <v>141</v>
      </c>
      <c r="B60" s="111" t="s">
        <v>66</v>
      </c>
      <c r="C60" s="138"/>
      <c r="D60" s="138"/>
      <c r="E60" s="138"/>
      <c r="F60" s="138"/>
      <c r="G60" s="138"/>
      <c r="H60" s="197">
        <v>0</v>
      </c>
      <c r="I60" s="197">
        <v>0</v>
      </c>
      <c r="J60" s="197">
        <v>0</v>
      </c>
      <c r="K60" s="320"/>
      <c r="L60" s="273"/>
      <c r="M60" s="138"/>
      <c r="N60" s="138"/>
      <c r="O60" s="138"/>
    </row>
    <row r="61" spans="1:15" ht="30">
      <c r="A61" s="138" t="s">
        <v>141</v>
      </c>
      <c r="B61" s="111" t="s">
        <v>69</v>
      </c>
      <c r="C61" s="138"/>
      <c r="D61" s="138"/>
      <c r="E61" s="138"/>
      <c r="F61" s="138"/>
      <c r="G61" s="138"/>
      <c r="H61" s="197">
        <v>0</v>
      </c>
      <c r="I61" s="197">
        <v>0</v>
      </c>
      <c r="J61" s="197">
        <v>0</v>
      </c>
      <c r="K61" s="320"/>
      <c r="L61" s="273"/>
      <c r="M61" s="138"/>
      <c r="N61" s="138"/>
      <c r="O61" s="138"/>
    </row>
    <row r="62" spans="1:15" ht="15">
      <c r="A62" s="138" t="s">
        <v>141</v>
      </c>
      <c r="B62" s="111" t="s">
        <v>149</v>
      </c>
      <c r="C62" s="138"/>
      <c r="D62" s="138"/>
      <c r="E62" s="138"/>
      <c r="F62" s="138"/>
      <c r="G62" s="138"/>
      <c r="H62" s="197">
        <v>0</v>
      </c>
      <c r="I62" s="197">
        <v>0</v>
      </c>
      <c r="J62" s="197">
        <v>0</v>
      </c>
      <c r="K62" s="320"/>
      <c r="L62" s="273"/>
      <c r="M62" s="138"/>
      <c r="N62" s="138"/>
      <c r="O62" s="138"/>
    </row>
    <row r="63" spans="1:15" ht="15">
      <c r="A63" s="138"/>
      <c r="B63" s="111" t="s">
        <v>22</v>
      </c>
      <c r="C63" s="138"/>
      <c r="D63" s="138"/>
      <c r="E63" s="138"/>
      <c r="F63" s="138"/>
      <c r="G63" s="138"/>
      <c r="H63" s="138"/>
      <c r="I63" s="138"/>
      <c r="J63" s="138"/>
      <c r="K63" s="138"/>
      <c r="L63" s="273"/>
      <c r="M63" s="138"/>
      <c r="N63" s="138"/>
      <c r="O63" s="138"/>
    </row>
    <row r="64" spans="1:15">
      <c r="A64" s="138"/>
      <c r="B64" s="138"/>
      <c r="C64" s="138"/>
      <c r="D64" s="138"/>
      <c r="E64" s="138"/>
      <c r="F64" s="138"/>
      <c r="G64" s="138"/>
      <c r="H64" s="376" t="s">
        <v>22</v>
      </c>
      <c r="I64" s="376" t="s">
        <v>22</v>
      </c>
      <c r="J64" s="376" t="s">
        <v>22</v>
      </c>
      <c r="K64" s="138"/>
      <c r="L64" s="273"/>
      <c r="M64" s="138"/>
      <c r="N64" s="138"/>
      <c r="O64" s="138"/>
    </row>
  </sheetData>
  <mergeCells count="3">
    <mergeCell ref="L32:S32"/>
    <mergeCell ref="L33:S33"/>
    <mergeCell ref="L6:O6"/>
  </mergeCells>
  <printOptions headings="1" gridLines="1"/>
  <pageMargins left="0.7" right="0.7" top="0.75" bottom="0.75" header="0.3" footer="0.3"/>
  <pageSetup scale="71" orientation="landscape" r:id="rId1"/>
  <ignoredErrors>
    <ignoredError sqref="D27:F2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"/>
  <sheetViews>
    <sheetView view="pageBreakPreview" zoomScaleNormal="100" zoomScaleSheetLayoutView="100" workbookViewId="0">
      <selection activeCell="C30" sqref="C30"/>
    </sheetView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N35"/>
  <sheetViews>
    <sheetView showGridLines="0" tabSelected="1" zoomScaleNormal="100" zoomScaleSheetLayoutView="100" workbookViewId="0">
      <selection activeCell="D23" sqref="D23"/>
    </sheetView>
  </sheetViews>
  <sheetFormatPr defaultColWidth="9" defaultRowHeight="12.75"/>
  <cols>
    <col min="1" max="1" width="2.7109375" style="5" customWidth="1"/>
    <col min="2" max="2" width="24" style="5" customWidth="1"/>
    <col min="3" max="3" width="13.85546875" style="5" customWidth="1"/>
    <col min="4" max="4" width="18.28515625" style="5" customWidth="1"/>
    <col min="5" max="5" width="10.7109375" style="5" bestFit="1" customWidth="1"/>
    <col min="6" max="6" width="11.28515625" style="5" bestFit="1" customWidth="1"/>
    <col min="7" max="7" width="24.140625" style="5" customWidth="1"/>
    <col min="8" max="8" width="9.85546875" style="5" customWidth="1"/>
    <col min="9" max="9" width="11" style="5" bestFit="1" customWidth="1"/>
    <col min="10" max="11" width="9" style="5"/>
    <col min="12" max="12" width="14.28515625" style="5" bestFit="1" customWidth="1"/>
    <col min="13" max="16384" width="9" style="5"/>
  </cols>
  <sheetData>
    <row r="1" spans="2:12">
      <c r="B1" s="98" t="s">
        <v>150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2:12">
      <c r="B2" s="98"/>
      <c r="C2" s="138"/>
      <c r="D2" s="138"/>
      <c r="E2" s="138"/>
      <c r="F2" s="138"/>
      <c r="G2" s="138"/>
      <c r="H2" s="138"/>
      <c r="I2" s="138"/>
      <c r="J2" s="98"/>
      <c r="K2" s="138"/>
      <c r="L2" s="138"/>
    </row>
    <row r="3" spans="2:12">
      <c r="B3" s="138"/>
      <c r="C3" s="138"/>
      <c r="D3" s="269">
        <v>2025</v>
      </c>
      <c r="E3" s="269">
        <f>D3+1</f>
        <v>2026</v>
      </c>
      <c r="F3" s="269">
        <f>E3+1</f>
        <v>2027</v>
      </c>
      <c r="G3" s="140"/>
      <c r="H3" s="138"/>
      <c r="I3" s="138"/>
      <c r="J3" s="138"/>
      <c r="K3" s="138"/>
      <c r="L3" s="138"/>
    </row>
    <row r="5" spans="2:12" ht="15" customHeight="1">
      <c r="B5" s="138" t="s">
        <v>151</v>
      </c>
      <c r="C5" s="106" t="s">
        <v>22</v>
      </c>
      <c r="D5" s="163">
        <f>'IS Hist Forecast'!H8</f>
        <v>22417.034319766884</v>
      </c>
      <c r="E5" s="163">
        <f>'IS Hist Forecast'!I8</f>
        <v>23762.056378952901</v>
      </c>
      <c r="F5" s="163">
        <f>'IS Hist Forecast'!J8</f>
        <v>25187.779761690075</v>
      </c>
      <c r="G5" s="138"/>
      <c r="H5" s="138"/>
      <c r="I5" s="138"/>
      <c r="J5" s="138"/>
      <c r="K5" s="138"/>
      <c r="L5" s="138"/>
    </row>
    <row r="6" spans="2:12">
      <c r="B6" s="138" t="s">
        <v>152</v>
      </c>
      <c r="C6" s="138"/>
      <c r="D6" s="164">
        <f ca="1">'IS Hist Forecast'!H12</f>
        <v>4527.5345934933894</v>
      </c>
      <c r="E6" s="164">
        <f ca="1">'IS Hist Forecast'!I12</f>
        <v>4819.9712002920687</v>
      </c>
      <c r="F6" s="164">
        <f ca="1">'IS Hist Forecast'!J12</f>
        <v>5134.4632638895691</v>
      </c>
      <c r="G6" s="138"/>
      <c r="H6" s="138"/>
      <c r="I6" s="138"/>
      <c r="J6" s="138"/>
      <c r="K6" s="138"/>
      <c r="L6" s="138"/>
    </row>
    <row r="7" spans="2:12">
      <c r="B7" s="138" t="s">
        <v>153</v>
      </c>
      <c r="C7" s="138"/>
      <c r="D7" s="164">
        <f>'CF Statement Forecast'!D8</f>
        <v>653.37502361707266</v>
      </c>
      <c r="E7" s="164">
        <f>'CF Statement Forecast'!E8</f>
        <v>430.16250141702494</v>
      </c>
      <c r="F7" s="164">
        <f>'CF Statement Forecast'!F8</f>
        <v>455.97225150204576</v>
      </c>
      <c r="G7" s="138"/>
      <c r="H7" s="138"/>
      <c r="I7" s="138"/>
      <c r="J7" s="138"/>
      <c r="K7" s="138"/>
      <c r="L7" s="138"/>
    </row>
    <row r="8" spans="2:12">
      <c r="B8" s="268" t="s">
        <v>154</v>
      </c>
      <c r="C8" s="268"/>
      <c r="D8" s="437">
        <f>'CF Statement Forecast'!D9</f>
        <v>1272.5696929136893</v>
      </c>
      <c r="E8" s="437">
        <f>'CF Statement Forecast'!E9</f>
        <v>460.23418157482138</v>
      </c>
      <c r="F8" s="437">
        <f>'CF Statement Forecast'!F9</f>
        <v>487.84823246931228</v>
      </c>
      <c r="G8" s="138"/>
      <c r="H8" s="138"/>
      <c r="I8" s="138"/>
      <c r="J8" s="138"/>
      <c r="K8" s="138"/>
      <c r="L8" s="138"/>
    </row>
    <row r="9" spans="2:12">
      <c r="B9" s="138" t="s">
        <v>155</v>
      </c>
      <c r="C9" s="138"/>
      <c r="D9" s="437">
        <f ca="1">D5-D6+D7+D8</f>
        <v>19815.444442804255</v>
      </c>
      <c r="E9" s="164">
        <f ca="1">E5-E6+E7+E8</f>
        <v>19832.481861652679</v>
      </c>
      <c r="F9" s="164">
        <f ca="1">F5-F6+F7+F8</f>
        <v>20997.136981771866</v>
      </c>
      <c r="G9" s="138"/>
      <c r="H9" s="138"/>
      <c r="I9" s="138"/>
      <c r="J9" s="138"/>
      <c r="K9" s="138"/>
      <c r="L9" s="157" t="s">
        <v>22</v>
      </c>
    </row>
    <row r="10" spans="2:12">
      <c r="B10" s="138"/>
      <c r="C10" s="138"/>
      <c r="D10" s="74"/>
      <c r="E10" s="74"/>
      <c r="F10" s="74"/>
      <c r="G10" s="138"/>
      <c r="H10" s="138"/>
      <c r="I10" s="138"/>
      <c r="J10" s="138"/>
      <c r="K10" s="138"/>
      <c r="L10" s="138"/>
    </row>
    <row r="11" spans="2:12">
      <c r="B11" s="138" t="s">
        <v>156</v>
      </c>
      <c r="C11" s="138"/>
      <c r="D11" s="164">
        <f ca="1">'Supporting Schedules'!E15</f>
        <v>-73.918133266228324</v>
      </c>
      <c r="E11" s="164">
        <f ca="1">'Supporting Schedules'!F15</f>
        <v>-677.03508799597876</v>
      </c>
      <c r="F11" s="164">
        <f ca="1">'Supporting Schedules'!G15</f>
        <v>-717.65719327573606</v>
      </c>
      <c r="G11" s="138"/>
      <c r="H11" s="138"/>
      <c r="I11" s="138"/>
      <c r="J11" s="138"/>
      <c r="K11" s="138"/>
      <c r="L11" s="138"/>
    </row>
    <row r="12" spans="2:12" ht="15">
      <c r="B12" s="268" t="s">
        <v>157</v>
      </c>
      <c r="C12" s="268"/>
      <c r="D12" s="250">
        <f ca="1">'Supporting Schedules'!E18</f>
        <v>3418.9548716654535</v>
      </c>
      <c r="E12" s="250">
        <f ca="1">'Supporting Schedules'!F18</f>
        <v>4568.3603313168169</v>
      </c>
      <c r="F12" s="250">
        <f ca="1">'Supporting Schedules'!G18</f>
        <v>4837.4031928798213</v>
      </c>
      <c r="G12" s="138"/>
      <c r="H12" s="138"/>
      <c r="I12" s="138"/>
      <c r="J12" s="138"/>
      <c r="K12" s="138"/>
      <c r="L12" s="138"/>
    </row>
    <row r="13" spans="2:12">
      <c r="B13" s="138"/>
      <c r="C13" s="138"/>
      <c r="D13" s="74"/>
      <c r="E13" s="74"/>
      <c r="F13" s="74"/>
      <c r="G13" s="138"/>
      <c r="H13" s="138"/>
      <c r="I13" s="138"/>
      <c r="J13" s="138"/>
      <c r="K13" s="138"/>
      <c r="L13" s="138"/>
    </row>
    <row r="14" spans="2:12" ht="13.5" thickBot="1">
      <c r="B14" s="138" t="s">
        <v>158</v>
      </c>
      <c r="C14" s="138"/>
      <c r="D14" s="164">
        <f ca="1">D9-D11-D12</f>
        <v>16470.407704405028</v>
      </c>
      <c r="E14" s="164">
        <f ca="1">E9-E11-E12</f>
        <v>15941.156618331839</v>
      </c>
      <c r="F14" s="164">
        <f ca="1">F9-F11-F12</f>
        <v>16877.390982167781</v>
      </c>
      <c r="G14" s="138"/>
      <c r="H14" s="138"/>
      <c r="I14" s="138"/>
      <c r="J14" s="138"/>
      <c r="K14" s="138"/>
      <c r="L14" s="138"/>
    </row>
    <row r="15" spans="2:12" ht="13.5" thickBot="1">
      <c r="B15" s="268" t="s">
        <v>159</v>
      </c>
      <c r="C15" s="268"/>
      <c r="D15" s="165"/>
      <c r="E15" s="165"/>
      <c r="F15" s="262">
        <f ca="1">F14*(1+WACC_growth_HARDCODE!B2)/(WACC_growth_HARDCODE!B1-WACC_growth_HARDCODE!B2)</f>
        <v>433537.98085443478</v>
      </c>
      <c r="G15" s="138"/>
      <c r="H15" s="138"/>
      <c r="I15" s="138"/>
      <c r="J15" s="138"/>
      <c r="K15" s="138"/>
      <c r="L15" s="138"/>
    </row>
    <row r="16" spans="2:12">
      <c r="B16" s="138" t="s">
        <v>160</v>
      </c>
      <c r="C16" s="138"/>
      <c r="D16" s="163"/>
      <c r="E16" s="163">
        <f ca="1">SUM(E14:E15)</f>
        <v>15941.156618331839</v>
      </c>
      <c r="F16" s="163">
        <f ca="1">SUM(F14:F15)</f>
        <v>450415.37183660257</v>
      </c>
      <c r="G16" s="138"/>
      <c r="H16" s="138"/>
      <c r="I16" s="27"/>
      <c r="J16" s="138"/>
      <c r="K16" s="138"/>
      <c r="L16" s="138"/>
    </row>
    <row r="17" spans="2:14">
      <c r="B17" s="138"/>
      <c r="C17" s="138"/>
      <c r="D17" s="157"/>
      <c r="E17" s="27"/>
      <c r="F17" s="27"/>
      <c r="G17" s="138"/>
      <c r="H17" s="138"/>
      <c r="I17" s="138"/>
      <c r="J17" s="138"/>
      <c r="K17" s="138"/>
      <c r="L17" s="138"/>
      <c r="M17" s="138"/>
      <c r="N17" s="138"/>
    </row>
    <row r="18" spans="2:14">
      <c r="B18" s="138"/>
      <c r="C18" s="138"/>
      <c r="D18" s="392"/>
      <c r="E18" s="28"/>
      <c r="F18" s="28"/>
      <c r="G18" s="28"/>
      <c r="H18" s="138"/>
      <c r="I18" s="138"/>
      <c r="J18" s="138"/>
      <c r="K18" s="138"/>
      <c r="L18" s="138"/>
      <c r="M18" s="138"/>
      <c r="N18" s="138"/>
    </row>
    <row r="19" spans="2:14">
      <c r="B19" s="138" t="s">
        <v>161</v>
      </c>
      <c r="C19" s="138"/>
      <c r="D19" s="407">
        <f ca="1">NPV(WACC_growth_HARDCODE!B1,'DCF Analysis'!D16:F16)</f>
        <v>399680.21885446971</v>
      </c>
      <c r="E19" s="28" t="s">
        <v>162</v>
      </c>
      <c r="F19" s="28"/>
      <c r="G19" s="28"/>
      <c r="H19" s="138"/>
      <c r="I19" s="138"/>
      <c r="J19" s="138"/>
      <c r="K19" s="138"/>
      <c r="L19" s="138"/>
      <c r="M19" s="138"/>
      <c r="N19" s="138"/>
    </row>
    <row r="20" spans="2:14">
      <c r="B20" s="138" t="s">
        <v>163</v>
      </c>
      <c r="C20" s="138"/>
      <c r="D20" s="83">
        <f ca="1">'BAL Hist Forecast'!F19 + 'BAL Hist Forecast'!F21 + 'BAL Hist Forecast'!F26 - 'BAL Hist Forecast'!F4</f>
        <v>23776</v>
      </c>
      <c r="E20" s="28" t="s">
        <v>164</v>
      </c>
      <c r="F20" s="28"/>
      <c r="G20" s="28"/>
      <c r="H20" s="173" t="s">
        <v>165</v>
      </c>
      <c r="I20" s="255"/>
      <c r="J20" s="255"/>
      <c r="K20" s="255"/>
      <c r="L20" s="255"/>
      <c r="M20" s="255"/>
      <c r="N20" s="255"/>
    </row>
    <row r="21" spans="2:14">
      <c r="B21" s="138" t="s">
        <v>166</v>
      </c>
      <c r="C21" s="138"/>
      <c r="D21" s="167">
        <f ca="1">D19-D20</f>
        <v>375904.21885446971</v>
      </c>
      <c r="E21" s="28" t="s">
        <v>167</v>
      </c>
      <c r="F21" s="28"/>
      <c r="G21" s="28"/>
      <c r="H21" s="173" t="s">
        <v>168</v>
      </c>
      <c r="I21" s="255"/>
      <c r="J21" s="255"/>
      <c r="K21" s="255"/>
      <c r="L21" s="255"/>
      <c r="M21" s="255"/>
      <c r="N21" s="255"/>
    </row>
    <row r="22" spans="2:14" ht="13.5" thickBot="1">
      <c r="B22" s="138" t="s">
        <v>169</v>
      </c>
      <c r="C22" s="138"/>
      <c r="D22" s="84">
        <f ca="1">D21/WACC_growth_HARDCODE!B3</f>
        <v>159.48418279782339</v>
      </c>
      <c r="E22" s="28" t="s">
        <v>170</v>
      </c>
      <c r="F22" s="28"/>
      <c r="G22" s="28"/>
      <c r="H22" s="138"/>
      <c r="I22" s="138"/>
      <c r="J22" s="138"/>
      <c r="K22" s="138"/>
      <c r="L22" s="138"/>
      <c r="M22" s="138"/>
      <c r="N22" s="138"/>
    </row>
    <row r="23" spans="2:14" ht="13.5" thickTop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2:14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2:14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2:14">
      <c r="B26" s="138"/>
      <c r="C26" s="157" t="s">
        <v>22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2:14">
      <c r="B27" s="138"/>
      <c r="C27" s="157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9" spans="2:14">
      <c r="B29" s="138"/>
      <c r="C29" s="157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2:14">
      <c r="B30" s="138"/>
      <c r="C30" s="138"/>
      <c r="D30" s="138"/>
      <c r="E30" s="138"/>
      <c r="F30" s="138" t="s">
        <v>22</v>
      </c>
      <c r="G30" s="138"/>
      <c r="H30" s="138"/>
      <c r="I30" s="138"/>
      <c r="J30" s="138"/>
      <c r="K30" s="138"/>
      <c r="L30" s="138"/>
      <c r="M30" s="138"/>
      <c r="N30" s="138"/>
    </row>
    <row r="31" spans="2:14">
      <c r="B31" s="138"/>
      <c r="C31" s="157"/>
      <c r="D31" s="138"/>
      <c r="E31" s="138"/>
      <c r="F31" s="138" t="s">
        <v>22</v>
      </c>
      <c r="G31" s="138"/>
      <c r="H31" s="138"/>
      <c r="I31" s="138"/>
      <c r="J31" s="138"/>
      <c r="K31" s="138"/>
      <c r="L31" s="138"/>
      <c r="M31" s="138"/>
      <c r="N31" s="138"/>
    </row>
    <row r="32" spans="2:14">
      <c r="B32" s="138"/>
      <c r="C32" s="157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5" spans="12:12">
      <c r="L35" s="138"/>
    </row>
  </sheetData>
  <pageMargins left="0.7" right="0.7" top="0.75" bottom="0.75" header="0.3" footer="0.3"/>
  <pageSetup orientation="landscape" r:id="rId1"/>
  <headerFooter>
    <oddHeader xml:space="preserve">&amp;C
</oddHeader>
    <oddFooter>&amp;C&amp;G&amp;R&amp;P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FF0000"/>
  </sheetPr>
  <dimension ref="A1"/>
  <sheetViews>
    <sheetView zoomScaleNormal="100" zoomScaleSheetLayoutView="100" workbookViewId="0">
      <selection activeCell="D15" sqref="D15"/>
    </sheetView>
  </sheetViews>
  <sheetFormatPr defaultColWidth="9" defaultRowHeight="15"/>
  <cols>
    <col min="1" max="16384" width="9" style="181"/>
  </cols>
  <sheetData/>
  <pageMargins left="0.7" right="0.7" top="0.75" bottom="0.75" header="0.3" footer="0.3"/>
  <pageSetup orientation="landscape" r:id="rId1"/>
  <headerFooter>
    <oddHeader xml:space="preserve">&amp;C
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K19"/>
  <sheetViews>
    <sheetView showGridLines="0" zoomScale="90" zoomScaleNormal="90" workbookViewId="0">
      <selection activeCell="I15" sqref="I15"/>
    </sheetView>
  </sheetViews>
  <sheetFormatPr defaultColWidth="9" defaultRowHeight="12.75"/>
  <cols>
    <col min="1" max="3" width="9" style="5"/>
    <col min="4" max="5" width="11.28515625" style="5" bestFit="1" customWidth="1"/>
    <col min="6" max="7" width="10.28515625" style="5" customWidth="1"/>
    <col min="8" max="8" width="10.28515625" style="5" bestFit="1" customWidth="1"/>
    <col min="9" max="16384" width="9" style="5"/>
  </cols>
  <sheetData>
    <row r="1" spans="1:11">
      <c r="A1" s="98" t="s">
        <v>171</v>
      </c>
      <c r="B1" s="138"/>
      <c r="C1" s="138"/>
      <c r="D1" s="138"/>
      <c r="E1" s="138"/>
      <c r="F1" s="138"/>
      <c r="G1" s="138"/>
      <c r="H1" s="98"/>
      <c r="I1" s="98"/>
      <c r="J1" s="138"/>
      <c r="K1" s="138"/>
    </row>
    <row r="2" spans="1:11">
      <c r="A2" s="138"/>
      <c r="B2" s="138"/>
      <c r="C2" s="138"/>
      <c r="D2" s="261">
        <v>2024</v>
      </c>
      <c r="E2" s="261">
        <f>D2+1</f>
        <v>2025</v>
      </c>
      <c r="F2" s="261">
        <f>E2+1</f>
        <v>2026</v>
      </c>
      <c r="G2" s="261">
        <f>F2+1</f>
        <v>2027</v>
      </c>
      <c r="H2" s="138"/>
      <c r="I2" s="138"/>
      <c r="J2" s="138"/>
      <c r="K2" s="138"/>
    </row>
    <row r="4" spans="1:11">
      <c r="A4" s="98" t="s">
        <v>172</v>
      </c>
      <c r="B4" s="138"/>
      <c r="C4" s="138"/>
      <c r="D4" s="138"/>
      <c r="E4" s="138"/>
      <c r="F4" s="138"/>
      <c r="G4" s="138"/>
      <c r="H4" s="98"/>
      <c r="I4" s="98"/>
      <c r="J4" s="138"/>
      <c r="K4" s="138"/>
    </row>
    <row r="5" spans="1:11" ht="15" customHeight="1">
      <c r="A5" s="138" t="s">
        <v>173</v>
      </c>
      <c r="B5" s="138"/>
      <c r="C5" s="138"/>
      <c r="D5" s="251">
        <f>'BAL Hist Forecast'!F5</f>
        <v>6118</v>
      </c>
      <c r="E5" s="251">
        <f>'BAL Hist Forecast'!H5</f>
        <v>6047.1900412963314</v>
      </c>
      <c r="F5" s="251">
        <f>'BAL Hist Forecast'!I5</f>
        <v>6410.0214437741115</v>
      </c>
      <c r="G5" s="251">
        <f>'BAL Hist Forecast'!J5</f>
        <v>6794.6227304005588</v>
      </c>
      <c r="H5" s="138"/>
      <c r="I5" s="138"/>
      <c r="J5" s="138"/>
      <c r="K5" s="138"/>
    </row>
    <row r="6" spans="1:11">
      <c r="A6" s="138" t="s">
        <v>174</v>
      </c>
      <c r="B6" s="138"/>
      <c r="C6" s="138"/>
      <c r="D6" s="253">
        <f>'BAL Hist Forecast'!F10</f>
        <v>7016</v>
      </c>
      <c r="E6" s="253">
        <f>'BAL Hist Forecast'!H10</f>
        <v>7236.881004082421</v>
      </c>
      <c r="F6" s="253">
        <f>'BAL Hist Forecast'!I10</f>
        <v>7671.0938643273666</v>
      </c>
      <c r="G6" s="253">
        <f>'BAL Hist Forecast'!J10</f>
        <v>8131.3594961870094</v>
      </c>
      <c r="H6" s="156"/>
      <c r="I6" s="138"/>
      <c r="J6" s="138"/>
      <c r="K6" s="138"/>
    </row>
    <row r="7" spans="1:11">
      <c r="A7" s="138" t="s">
        <v>108</v>
      </c>
      <c r="B7" s="138"/>
      <c r="C7" s="138"/>
      <c r="D7" s="254">
        <f>'BAL Hist Forecast'!F11</f>
        <v>2094</v>
      </c>
      <c r="E7" s="254">
        <f>'BAL Hist Forecast'!H11</f>
        <v>2291.0157667519961</v>
      </c>
      <c r="F7" s="254">
        <f>'BAL Hist Forecast'!I11</f>
        <v>2428.4767127571163</v>
      </c>
      <c r="G7" s="254">
        <f>'BAL Hist Forecast'!J11</f>
        <v>2574.1853155225431</v>
      </c>
      <c r="H7" s="156"/>
      <c r="I7" s="138"/>
      <c r="J7" s="138"/>
      <c r="K7" s="138"/>
    </row>
    <row r="8" spans="1:11">
      <c r="A8" s="138" t="s">
        <v>175</v>
      </c>
      <c r="B8" s="138"/>
      <c r="C8" s="138"/>
      <c r="D8" s="166">
        <f>SUM(D5:D7)</f>
        <v>15228</v>
      </c>
      <c r="E8" s="166">
        <f>SUM(E5:E7)</f>
        <v>15575.086812130749</v>
      </c>
      <c r="F8" s="166">
        <f>SUM(F5:F7)</f>
        <v>16509.592020858596</v>
      </c>
      <c r="G8" s="166">
        <f>SUM(G5:G7)</f>
        <v>17500.16754211011</v>
      </c>
      <c r="H8" s="156"/>
      <c r="I8" s="138"/>
      <c r="J8" s="138"/>
      <c r="K8" s="138"/>
    </row>
    <row r="9" spans="1:11">
      <c r="A9" s="138"/>
      <c r="B9" s="138"/>
      <c r="C9" s="138"/>
      <c r="D9" s="252"/>
      <c r="E9" s="252"/>
      <c r="F9" s="252"/>
      <c r="G9" s="252"/>
      <c r="H9" s="138"/>
      <c r="I9" s="98"/>
      <c r="J9" s="98"/>
      <c r="K9" s="98"/>
    </row>
    <row r="10" spans="1:11">
      <c r="A10" s="138" t="s">
        <v>176</v>
      </c>
      <c r="B10" s="138"/>
      <c r="C10" s="138"/>
      <c r="D10" s="254">
        <f>'BAL Hist Forecast'!F17 + 'BAL Hist Forecast'!F18</f>
        <v>26438</v>
      </c>
      <c r="E10" s="254">
        <f>'BAL Hist Forecast'!H17 + 'BAL Hist Forecast'!H18</f>
        <v>26859.004945396977</v>
      </c>
      <c r="F10" s="254">
        <f>'BAL Hist Forecast'!I17 + 'BAL Hist Forecast'!I18</f>
        <v>28470.545242120803</v>
      </c>
      <c r="G10" s="254">
        <f>'BAL Hist Forecast'!J17 + 'BAL Hist Forecast'!J18</f>
        <v>30178.777956648053</v>
      </c>
      <c r="H10" s="138"/>
      <c r="I10" s="98"/>
      <c r="J10" s="98"/>
      <c r="K10" s="98"/>
    </row>
    <row r="11" spans="1:11">
      <c r="A11" s="138" t="s">
        <v>177</v>
      </c>
      <c r="B11" s="138"/>
      <c r="C11" s="138"/>
      <c r="D11" s="251">
        <f>SUM(D10)</f>
        <v>26438</v>
      </c>
      <c r="E11" s="251">
        <f>SUM(E10)</f>
        <v>26859.004945396977</v>
      </c>
      <c r="F11" s="251">
        <f>SUM(F10)</f>
        <v>28470.545242120803</v>
      </c>
      <c r="G11" s="251">
        <f>SUM(G10)</f>
        <v>30178.777956648053</v>
      </c>
      <c r="H11" s="138"/>
      <c r="I11" s="98"/>
      <c r="J11" s="98"/>
      <c r="K11" s="98"/>
    </row>
    <row r="12" spans="1:11">
      <c r="A12" s="138"/>
      <c r="B12" s="138"/>
      <c r="C12" s="138"/>
      <c r="D12" s="252"/>
      <c r="E12" s="252"/>
      <c r="F12" s="252"/>
      <c r="G12" s="252"/>
      <c r="H12" s="138"/>
      <c r="I12" s="98"/>
      <c r="J12" s="98"/>
      <c r="K12" s="98"/>
    </row>
    <row r="13" spans="1:11">
      <c r="A13" s="98" t="s">
        <v>178</v>
      </c>
      <c r="B13" s="138"/>
      <c r="C13" s="138"/>
      <c r="D13" s="251">
        <f>D8-D11</f>
        <v>-11210</v>
      </c>
      <c r="E13" s="251">
        <f>E8-E11</f>
        <v>-11283.918133266228</v>
      </c>
      <c r="F13" s="251">
        <f>F8-F11</f>
        <v>-11960.953221262207</v>
      </c>
      <c r="G13" s="251">
        <f>G8-G11</f>
        <v>-12678.610414537943</v>
      </c>
      <c r="H13" s="98"/>
      <c r="I13" s="98"/>
      <c r="J13" s="98"/>
      <c r="K13" s="98"/>
    </row>
    <row r="14" spans="1:11">
      <c r="A14" s="138"/>
      <c r="B14" s="138"/>
      <c r="C14" s="138"/>
      <c r="D14" s="252"/>
      <c r="E14" s="252"/>
      <c r="F14" s="252"/>
      <c r="G14" s="252"/>
      <c r="H14" s="138"/>
      <c r="I14" s="98"/>
      <c r="J14" s="98"/>
      <c r="K14" s="98"/>
    </row>
    <row r="15" spans="1:11">
      <c r="A15" s="98" t="s">
        <v>179</v>
      </c>
      <c r="B15" s="138"/>
      <c r="C15" s="138"/>
      <c r="D15" s="252"/>
      <c r="E15" s="251">
        <f>E13-D13</f>
        <v>-73.918133266228324</v>
      </c>
      <c r="F15" s="251">
        <f>F13-E13</f>
        <v>-677.03508799597876</v>
      </c>
      <c r="G15" s="251">
        <f>G13-F13</f>
        <v>-717.65719327573606</v>
      </c>
      <c r="H15" s="98"/>
      <c r="I15" s="98"/>
      <c r="J15" s="98"/>
      <c r="K15" s="98"/>
    </row>
    <row r="16" spans="1:11">
      <c r="A16" s="138"/>
      <c r="B16" s="138"/>
      <c r="C16" s="138"/>
      <c r="D16" s="252"/>
      <c r="E16" s="252"/>
      <c r="F16" s="252"/>
      <c r="G16" s="252"/>
      <c r="H16" s="138"/>
      <c r="I16" s="98"/>
      <c r="J16" s="98"/>
      <c r="K16" s="98"/>
    </row>
    <row r="17" spans="1:11">
      <c r="A17" s="138"/>
      <c r="B17" s="138"/>
      <c r="C17" s="138"/>
      <c r="D17" s="252"/>
      <c r="E17" s="252"/>
      <c r="F17" s="252"/>
      <c r="G17" s="252"/>
      <c r="H17" s="138"/>
      <c r="I17" s="98"/>
      <c r="J17" s="98"/>
      <c r="K17" s="98"/>
    </row>
    <row r="18" spans="1:11">
      <c r="A18" s="98" t="s">
        <v>180</v>
      </c>
      <c r="B18" s="138"/>
      <c r="C18" s="138"/>
      <c r="D18" s="252"/>
      <c r="E18" s="251">
        <f ca="1">'BAL Hist Forecast'!H13+'BAL Hist Forecast'!H14-'BAL Hist Forecast'!F13-'BAL Hist Forecast'!F14</f>
        <v>3418.9548716654535</v>
      </c>
      <c r="F18" s="251">
        <f ca="1">'BAL Hist Forecast'!I13+'BAL Hist Forecast'!I14-'BAL Hist Forecast'!H13-'BAL Hist Forecast'!H14</f>
        <v>4568.3603313168169</v>
      </c>
      <c r="G18" s="251">
        <f ca="1">'BAL Hist Forecast'!J13+'BAL Hist Forecast'!J14-'BAL Hist Forecast'!I13-'BAL Hist Forecast'!I14</f>
        <v>4837.4031928798213</v>
      </c>
      <c r="H18" s="98"/>
      <c r="I18" s="98"/>
      <c r="J18" s="138"/>
      <c r="K18" s="138"/>
    </row>
    <row r="19" spans="1:11">
      <c r="A19" s="138"/>
      <c r="B19" s="138"/>
      <c r="C19" s="138"/>
      <c r="D19" s="252"/>
      <c r="E19" s="252"/>
      <c r="F19" s="252"/>
      <c r="G19" s="252"/>
      <c r="H19" s="138"/>
      <c r="I19" s="138"/>
      <c r="J19" s="138"/>
      <c r="K19" s="138"/>
    </row>
  </sheetData>
  <pageMargins left="0.7" right="0.7" top="0.75" bottom="0.75" header="0.3" footer="0.3"/>
  <pageSetup orientation="landscape" r:id="rId1"/>
  <headerFooter>
    <oddHeader xml:space="preserve">&amp;C
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B106-C0C6-4DCC-9729-43DBF2256CAA}">
  <sheetPr codeName="Sheet16">
    <tabColor rgb="FFFF0000"/>
  </sheetPr>
  <dimension ref="A1"/>
  <sheetViews>
    <sheetView workbookViewId="0">
      <selection activeCell="G21" sqref="G21"/>
    </sheetView>
  </sheetViews>
  <sheetFormatPr defaultColWidth="9" defaultRowHeight="15"/>
  <cols>
    <col min="1" max="16384" width="9" style="18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S13"/>
  <sheetViews>
    <sheetView showGridLines="0" topLeftCell="E1" zoomScale="136" zoomScaleNormal="136" workbookViewId="0">
      <selection activeCell="G19" sqref="G19"/>
    </sheetView>
  </sheetViews>
  <sheetFormatPr defaultColWidth="9" defaultRowHeight="12.75"/>
  <cols>
    <col min="1" max="1" width="11" style="5" bestFit="1" customWidth="1"/>
    <col min="2" max="2" width="11.7109375" style="5" bestFit="1" customWidth="1"/>
    <col min="3" max="3" width="10.7109375" style="5" customWidth="1"/>
    <col min="4" max="4" width="12.85546875" style="5" bestFit="1" customWidth="1"/>
    <col min="5" max="5" width="12" style="5" bestFit="1" customWidth="1"/>
    <col min="6" max="7" width="9" style="5"/>
    <col min="8" max="8" width="10.85546875" style="5" customWidth="1"/>
    <col min="9" max="9" width="12.28515625" style="5" bestFit="1" customWidth="1"/>
    <col min="10" max="10" width="9" style="5" customWidth="1"/>
    <col min="11" max="11" width="10" style="5" bestFit="1" customWidth="1"/>
    <col min="12" max="12" width="12" style="5" customWidth="1"/>
    <col min="13" max="14" width="9" style="5"/>
    <col min="15" max="15" width="11" style="5" customWidth="1"/>
    <col min="16" max="16" width="10" style="5" bestFit="1" customWidth="1"/>
    <col min="17" max="17" width="10" style="5" customWidth="1"/>
    <col min="18" max="18" width="10" style="5" bestFit="1" customWidth="1"/>
    <col min="19" max="19" width="10.28515625" style="5" customWidth="1"/>
    <col min="20" max="16384" width="9" style="5"/>
  </cols>
  <sheetData>
    <row r="1" spans="1:19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37" t="s">
        <v>22</v>
      </c>
      <c r="Q1" s="138"/>
      <c r="R1" s="138"/>
      <c r="S1" s="138"/>
    </row>
    <row r="2" spans="1:19" ht="25.5">
      <c r="A2" s="98"/>
      <c r="B2" s="266" t="s">
        <v>181</v>
      </c>
      <c r="C2" s="267" t="s">
        <v>182</v>
      </c>
      <c r="D2" s="267" t="s">
        <v>183</v>
      </c>
      <c r="E2" s="26" t="s">
        <v>184</v>
      </c>
      <c r="F2" s="138"/>
      <c r="G2" s="325"/>
      <c r="H2" s="325" t="s">
        <v>185</v>
      </c>
      <c r="I2" s="325" t="s">
        <v>186</v>
      </c>
      <c r="J2" s="325" t="s">
        <v>187</v>
      </c>
      <c r="K2" s="325" t="s">
        <v>188</v>
      </c>
      <c r="L2" s="325" t="s">
        <v>189</v>
      </c>
      <c r="M2" s="138"/>
      <c r="N2" s="325"/>
      <c r="O2" s="325" t="s">
        <v>185</v>
      </c>
      <c r="P2" s="325" t="s">
        <v>186</v>
      </c>
      <c r="Q2" s="325" t="s">
        <v>187</v>
      </c>
      <c r="R2" s="325" t="s">
        <v>188</v>
      </c>
      <c r="S2" s="325" t="s">
        <v>189</v>
      </c>
    </row>
    <row r="3" spans="1:19">
      <c r="A3" s="325" t="s">
        <v>190</v>
      </c>
      <c r="B3" s="105">
        <f>'Multiple Valuation'!G21</f>
        <v>0</v>
      </c>
      <c r="C3" s="105">
        <f>'Multiple Valuation'!G37</f>
        <v>0</v>
      </c>
      <c r="D3" s="105">
        <f>'Multiple Valuation'!G53</f>
        <v>0</v>
      </c>
      <c r="E3" s="105">
        <f>'Multiple Valuation'!G69</f>
        <v>0</v>
      </c>
      <c r="F3" s="138" t="s">
        <v>22</v>
      </c>
      <c r="G3" s="325" t="s">
        <v>190</v>
      </c>
      <c r="H3" s="90"/>
      <c r="I3" s="90"/>
      <c r="J3" s="90"/>
      <c r="K3" s="90"/>
      <c r="L3" s="90"/>
      <c r="M3" s="138"/>
      <c r="N3" s="325" t="s">
        <v>190</v>
      </c>
      <c r="O3" s="90"/>
      <c r="P3" s="90"/>
      <c r="Q3" s="90"/>
      <c r="R3" s="90"/>
      <c r="S3" s="90"/>
    </row>
    <row r="4" spans="1:19">
      <c r="A4" s="325" t="s">
        <v>191</v>
      </c>
      <c r="B4" s="105">
        <f>'Multiple Valuation'!G20</f>
        <v>0</v>
      </c>
      <c r="C4" s="105">
        <f>'Multiple Valuation'!G36</f>
        <v>0</v>
      </c>
      <c r="D4" s="105">
        <f>'Multiple Valuation'!G52</f>
        <v>0</v>
      </c>
      <c r="E4" s="105">
        <f>'Multiple Valuation'!G68</f>
        <v>0</v>
      </c>
      <c r="F4" s="138" t="s">
        <v>22</v>
      </c>
      <c r="G4" s="325" t="s">
        <v>191</v>
      </c>
      <c r="H4" s="90"/>
      <c r="I4" s="90"/>
      <c r="J4" s="90"/>
      <c r="K4" s="90"/>
      <c r="L4" s="90"/>
      <c r="M4" s="138"/>
      <c r="N4" s="325" t="s">
        <v>191</v>
      </c>
      <c r="O4" s="90"/>
      <c r="P4" s="90"/>
      <c r="Q4" s="90"/>
      <c r="R4" s="90"/>
      <c r="S4" s="90"/>
    </row>
    <row r="5" spans="1:19">
      <c r="A5" s="325" t="s">
        <v>192</v>
      </c>
      <c r="B5" s="105">
        <f>'Multiple Valuation'!G19</f>
        <v>0</v>
      </c>
      <c r="C5" s="105">
        <f>'Multiple Valuation'!G35</f>
        <v>0</v>
      </c>
      <c r="D5" s="105">
        <f>'Multiple Valuation'!G51</f>
        <v>0</v>
      </c>
      <c r="E5" s="105">
        <f>'Multiple Valuation'!G67</f>
        <v>0</v>
      </c>
      <c r="F5" s="138" t="s">
        <v>22</v>
      </c>
      <c r="G5" s="325" t="s">
        <v>192</v>
      </c>
      <c r="H5" s="90"/>
      <c r="I5" s="90"/>
      <c r="J5" s="90"/>
      <c r="K5" s="90"/>
      <c r="L5" s="90"/>
      <c r="M5" s="138"/>
      <c r="N5" s="325" t="s">
        <v>192</v>
      </c>
      <c r="O5" s="90"/>
      <c r="P5" s="90"/>
      <c r="Q5" s="90"/>
      <c r="R5" s="90"/>
      <c r="S5" s="90"/>
    </row>
    <row r="6" spans="1:19">
      <c r="A6" s="274"/>
      <c r="B6" s="274"/>
      <c r="C6" s="274"/>
      <c r="D6" s="37"/>
      <c r="E6" s="138"/>
      <c r="F6" s="138"/>
      <c r="G6" s="138"/>
      <c r="H6" s="138"/>
      <c r="I6" s="138"/>
      <c r="J6" s="138" t="s">
        <v>22</v>
      </c>
      <c r="K6" s="138"/>
      <c r="L6" s="138"/>
      <c r="M6" s="138"/>
      <c r="N6" s="138"/>
      <c r="O6" s="138"/>
      <c r="P6" s="138"/>
      <c r="Q6" s="138"/>
      <c r="R6" s="138"/>
      <c r="S6" s="138"/>
    </row>
    <row r="7" spans="1:19">
      <c r="A7" s="138" t="s">
        <v>22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</row>
    <row r="8" spans="1:19">
      <c r="A8" s="138"/>
      <c r="B8" s="138"/>
      <c r="C8" s="138"/>
      <c r="D8" s="138"/>
      <c r="E8" s="138"/>
      <c r="F8" s="138"/>
      <c r="G8" s="138"/>
      <c r="H8" s="138"/>
      <c r="I8" s="138" t="s">
        <v>22</v>
      </c>
      <c r="J8" s="138"/>
      <c r="K8" s="138"/>
      <c r="L8" s="138"/>
      <c r="M8" s="138"/>
      <c r="N8" s="138"/>
      <c r="O8" s="138"/>
      <c r="P8" s="138"/>
      <c r="Q8" s="138"/>
      <c r="R8" s="138"/>
      <c r="S8" s="138"/>
    </row>
    <row r="9" spans="1:1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</row>
    <row r="10" spans="1:19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</row>
    <row r="11" spans="1:19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</row>
    <row r="13" spans="1:19">
      <c r="A13" s="138"/>
      <c r="B13" s="138"/>
      <c r="C13" s="138"/>
      <c r="D13" s="138" t="s">
        <v>22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</row>
  </sheetData>
  <pageMargins left="0.7" right="0.7" top="0.75" bottom="0.75" header="0.3" footer="0.3"/>
  <pageSetup orientation="landscape" r:id="rId1"/>
  <headerFooter>
    <oddHeader xml:space="preserve">&amp;C
</oddHeader>
    <oddFooter>&amp;C&amp;G&amp;R&amp;P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H79"/>
  <sheetViews>
    <sheetView showGridLines="0" zoomScale="115" zoomScaleNormal="115" zoomScaleSheetLayoutView="100" workbookViewId="0">
      <pane ySplit="3" topLeftCell="B15" activePane="bottomLeft" state="frozen"/>
      <selection pane="bottomLeft" activeCell="B15" sqref="B15"/>
    </sheetView>
  </sheetViews>
  <sheetFormatPr defaultColWidth="9" defaultRowHeight="12.75"/>
  <cols>
    <col min="1" max="1" width="42" style="5" customWidth="1"/>
    <col min="2" max="2" width="18.28515625" style="5" customWidth="1"/>
    <col min="3" max="3" width="2.7109375" style="5" customWidth="1"/>
    <col min="4" max="4" width="47.85546875" style="5" bestFit="1" customWidth="1"/>
    <col min="5" max="5" width="2.7109375" style="5" customWidth="1"/>
    <col min="6" max="6" width="16.7109375" style="5" bestFit="1" customWidth="1"/>
    <col min="7" max="7" width="15.28515625" style="11" customWidth="1"/>
    <col min="8" max="8" width="52" style="5" customWidth="1"/>
    <col min="9" max="16384" width="9" style="5"/>
  </cols>
  <sheetData>
    <row r="1" spans="1:8" ht="15.75">
      <c r="A1" s="3" t="s">
        <v>193</v>
      </c>
      <c r="B1" s="2"/>
      <c r="C1" s="138"/>
      <c r="D1" s="138"/>
      <c r="E1" s="138"/>
      <c r="F1" s="138"/>
      <c r="G1" s="325"/>
      <c r="H1" s="138"/>
    </row>
    <row r="2" spans="1:8" ht="15">
      <c r="A2" s="2"/>
      <c r="B2" s="2"/>
      <c r="C2" s="138"/>
      <c r="D2" s="138" t="s">
        <v>22</v>
      </c>
      <c r="E2" s="138"/>
      <c r="F2" s="138"/>
      <c r="G2" s="325"/>
      <c r="H2" s="138"/>
    </row>
    <row r="3" spans="1:8" ht="15.75">
      <c r="A3" s="3" t="s">
        <v>194</v>
      </c>
      <c r="B3" s="2"/>
      <c r="C3" s="138"/>
      <c r="D3" s="98" t="s">
        <v>22</v>
      </c>
      <c r="E3" s="138"/>
      <c r="F3" s="138"/>
      <c r="G3" s="325"/>
      <c r="H3" s="138"/>
    </row>
    <row r="4" spans="1:8" ht="15.75">
      <c r="A4" s="3"/>
      <c r="B4" s="2"/>
      <c r="C4" s="138"/>
      <c r="D4" s="98"/>
      <c r="E4" s="138"/>
      <c r="F4" s="138"/>
      <c r="G4" s="325"/>
      <c r="H4" s="138"/>
    </row>
    <row r="5" spans="1:8" ht="15.75">
      <c r="A5" s="3" t="s">
        <v>195</v>
      </c>
      <c r="B5" s="66" t="s">
        <v>196</v>
      </c>
      <c r="C5" s="138"/>
      <c r="D5" s="98" t="s">
        <v>197</v>
      </c>
      <c r="E5" s="138"/>
      <c r="F5" s="138"/>
      <c r="G5" s="325"/>
      <c r="H5" s="138" t="s">
        <v>198</v>
      </c>
    </row>
    <row r="6" spans="1:8" ht="15">
      <c r="A6" s="67" t="s">
        <v>199</v>
      </c>
      <c r="B6" s="86"/>
      <c r="C6" s="138"/>
      <c r="D6" s="86"/>
      <c r="E6" s="138"/>
      <c r="F6" s="138"/>
      <c r="G6" s="138"/>
      <c r="H6" s="138" t="s">
        <v>200</v>
      </c>
    </row>
    <row r="7" spans="1:8" ht="15">
      <c r="A7" s="67" t="s">
        <v>201</v>
      </c>
      <c r="B7" s="86"/>
      <c r="C7" s="138"/>
      <c r="D7" s="86"/>
      <c r="E7" s="138"/>
      <c r="F7" s="37"/>
      <c r="G7" s="138"/>
      <c r="H7" s="138" t="s">
        <v>202</v>
      </c>
    </row>
    <row r="8" spans="1:8" ht="15">
      <c r="A8" s="67" t="s">
        <v>203</v>
      </c>
      <c r="B8" s="86"/>
      <c r="C8" s="138"/>
      <c r="D8" s="87"/>
      <c r="E8" s="138"/>
      <c r="F8" s="138"/>
      <c r="G8" s="138"/>
      <c r="H8" s="138"/>
    </row>
    <row r="9" spans="1:8" ht="15">
      <c r="A9" s="67" t="s">
        <v>204</v>
      </c>
      <c r="B9" s="86"/>
      <c r="C9" s="138"/>
      <c r="D9" s="86"/>
      <c r="E9" s="138"/>
      <c r="F9" s="138"/>
      <c r="G9" s="138"/>
      <c r="H9" s="138" t="s">
        <v>205</v>
      </c>
    </row>
    <row r="10" spans="1:8" ht="15">
      <c r="A10" s="67" t="s">
        <v>206</v>
      </c>
      <c r="B10" s="404"/>
      <c r="C10" s="138"/>
      <c r="D10" s="86"/>
      <c r="E10" s="138"/>
      <c r="F10" s="138"/>
      <c r="G10" s="325"/>
      <c r="H10" s="138" t="s">
        <v>207</v>
      </c>
    </row>
    <row r="11" spans="1:8" ht="15">
      <c r="A11" s="67" t="s">
        <v>208</v>
      </c>
      <c r="B11" s="92"/>
      <c r="C11" s="138"/>
      <c r="D11" s="88"/>
      <c r="E11" s="138"/>
      <c r="F11" s="138"/>
      <c r="G11" s="325"/>
      <c r="H11" s="138"/>
    </row>
    <row r="12" spans="1:8" ht="15">
      <c r="A12" s="67" t="s">
        <v>209</v>
      </c>
      <c r="B12" s="89"/>
      <c r="C12" s="138"/>
      <c r="D12" s="86"/>
      <c r="E12" s="38" t="s">
        <v>22</v>
      </c>
      <c r="F12" s="138"/>
      <c r="G12" s="325"/>
      <c r="H12" s="138"/>
    </row>
    <row r="13" spans="1:8" ht="15">
      <c r="A13" s="67" t="s">
        <v>210</v>
      </c>
      <c r="B13" s="89"/>
      <c r="C13" s="138"/>
      <c r="D13" s="86"/>
      <c r="E13" s="37" t="s">
        <v>22</v>
      </c>
      <c r="F13" s="138"/>
      <c r="G13" s="325"/>
      <c r="H13" s="37"/>
    </row>
    <row r="14" spans="1:8" ht="15">
      <c r="A14" s="67" t="s">
        <v>211</v>
      </c>
      <c r="B14" s="240"/>
      <c r="C14" s="138"/>
      <c r="D14" s="86"/>
      <c r="E14" s="138"/>
      <c r="F14" s="27" t="s">
        <v>22</v>
      </c>
      <c r="G14" s="325"/>
      <c r="H14" s="39" t="s">
        <v>22</v>
      </c>
    </row>
    <row r="15" spans="1:8" ht="15.75" thickBot="1">
      <c r="A15" s="68"/>
      <c r="B15" s="69"/>
      <c r="C15" s="80"/>
      <c r="D15" s="80"/>
      <c r="E15" s="80"/>
      <c r="F15" s="80"/>
      <c r="G15" s="275"/>
      <c r="H15" s="80"/>
    </row>
    <row r="16" spans="1:8" ht="15">
      <c r="A16" s="2"/>
      <c r="B16" s="2"/>
      <c r="C16" s="138"/>
      <c r="D16" s="138" t="s">
        <v>212</v>
      </c>
      <c r="E16" s="138"/>
      <c r="F16" s="138"/>
      <c r="G16" s="325"/>
      <c r="H16" s="138"/>
    </row>
    <row r="17" spans="1:8" ht="15.75">
      <c r="A17" s="70" t="s">
        <v>181</v>
      </c>
      <c r="B17" s="66" t="s">
        <v>196</v>
      </c>
      <c r="C17" s="138"/>
      <c r="D17" s="138" t="s">
        <v>213</v>
      </c>
      <c r="E17" s="138"/>
      <c r="F17" s="138"/>
      <c r="G17" s="325"/>
      <c r="H17" s="138"/>
    </row>
    <row r="18" spans="1:8" ht="15">
      <c r="A18" s="71" t="s">
        <v>199</v>
      </c>
      <c r="B18" s="91"/>
      <c r="C18" s="138"/>
      <c r="D18" s="91"/>
      <c r="E18" s="138"/>
      <c r="F18" s="138"/>
      <c r="G18" s="140" t="s">
        <v>214</v>
      </c>
      <c r="H18" s="138"/>
    </row>
    <row r="19" spans="1:8" ht="15">
      <c r="A19" s="81" t="s">
        <v>215</v>
      </c>
      <c r="B19" s="91"/>
      <c r="C19" s="138"/>
      <c r="D19" s="91"/>
      <c r="E19" s="138"/>
      <c r="F19" s="98" t="s">
        <v>216</v>
      </c>
      <c r="G19" s="90"/>
      <c r="H19" s="138"/>
    </row>
    <row r="20" spans="1:8" ht="15">
      <c r="A20" s="71" t="s">
        <v>203</v>
      </c>
      <c r="B20" s="91"/>
      <c r="C20" s="138"/>
      <c r="D20" s="92"/>
      <c r="E20" s="138"/>
      <c r="F20" s="98" t="s">
        <v>217</v>
      </c>
      <c r="G20" s="90"/>
      <c r="H20" s="138"/>
    </row>
    <row r="21" spans="1:8" ht="15">
      <c r="A21" s="71" t="s">
        <v>204</v>
      </c>
      <c r="B21" s="322"/>
      <c r="C21" s="138"/>
      <c r="D21" s="91"/>
      <c r="E21" s="138"/>
      <c r="F21" s="98" t="s">
        <v>218</v>
      </c>
      <c r="G21" s="90"/>
      <c r="H21" s="138"/>
    </row>
    <row r="22" spans="1:8" ht="15">
      <c r="A22" s="71" t="s">
        <v>206</v>
      </c>
      <c r="B22" s="92"/>
      <c r="C22" s="138"/>
      <c r="D22" s="92"/>
      <c r="E22" s="138"/>
      <c r="F22" s="138" t="s">
        <v>22</v>
      </c>
      <c r="G22" s="325"/>
      <c r="H22" s="138"/>
    </row>
    <row r="23" spans="1:8" ht="15">
      <c r="A23" s="71" t="s">
        <v>208</v>
      </c>
      <c r="B23" s="92"/>
      <c r="C23" s="138"/>
      <c r="D23" s="91"/>
      <c r="E23" s="138"/>
      <c r="F23" s="173" t="s">
        <v>219</v>
      </c>
      <c r="G23" s="174"/>
      <c r="H23" s="255"/>
    </row>
    <row r="24" spans="1:8" ht="15">
      <c r="A24" s="71" t="s">
        <v>209</v>
      </c>
      <c r="B24" s="89"/>
      <c r="C24" s="138"/>
      <c r="D24" s="89"/>
      <c r="E24" s="138"/>
      <c r="F24" s="37" t="s">
        <v>22</v>
      </c>
      <c r="G24" s="325"/>
      <c r="H24" s="138"/>
    </row>
    <row r="25" spans="1:8" ht="15">
      <c r="A25" s="71" t="s">
        <v>210</v>
      </c>
      <c r="B25" s="89"/>
      <c r="C25" s="138"/>
      <c r="D25" s="89"/>
      <c r="E25" s="138"/>
      <c r="F25" s="37" t="s">
        <v>22</v>
      </c>
      <c r="G25" s="325"/>
      <c r="H25" s="138"/>
    </row>
    <row r="26" spans="1:8" ht="15">
      <c r="A26" s="71" t="s">
        <v>211</v>
      </c>
      <c r="B26" s="89"/>
      <c r="C26" s="138"/>
      <c r="D26" s="89"/>
      <c r="E26" s="138"/>
      <c r="F26" s="138"/>
      <c r="G26" s="325"/>
      <c r="H26" s="138"/>
    </row>
    <row r="27" spans="1:8" ht="15">
      <c r="A27" s="71" t="s">
        <v>220</v>
      </c>
      <c r="B27" s="405"/>
      <c r="C27" s="138"/>
      <c r="D27" s="89"/>
      <c r="E27" s="138"/>
      <c r="F27" s="138"/>
      <c r="G27" s="325"/>
      <c r="H27" s="138"/>
    </row>
    <row r="28" spans="1:8" ht="15">
      <c r="A28" s="71" t="s">
        <v>221</v>
      </c>
      <c r="B28" s="93"/>
      <c r="C28" s="138"/>
      <c r="D28" s="89"/>
      <c r="E28" s="138"/>
      <c r="F28" s="138" t="s">
        <v>22</v>
      </c>
      <c r="G28" s="325"/>
      <c r="H28" s="138"/>
    </row>
    <row r="29" spans="1:8" ht="15">
      <c r="A29" s="71" t="s">
        <v>222</v>
      </c>
      <c r="B29" s="93"/>
      <c r="C29" s="138"/>
      <c r="D29" s="89"/>
      <c r="E29" s="138"/>
      <c r="F29" s="138"/>
      <c r="G29" s="325"/>
      <c r="H29" s="138"/>
    </row>
    <row r="30" spans="1:8" ht="15">
      <c r="A30" s="71" t="s">
        <v>223</v>
      </c>
      <c r="B30" s="93"/>
      <c r="C30" s="138"/>
      <c r="D30" s="89"/>
      <c r="E30" s="138"/>
      <c r="F30" s="138"/>
      <c r="G30" s="325"/>
      <c r="H30" s="138"/>
    </row>
    <row r="31" spans="1:8" ht="15.75" thickBot="1">
      <c r="A31" s="72"/>
      <c r="B31" s="73"/>
      <c r="C31" s="80"/>
      <c r="D31" s="80"/>
      <c r="E31" s="80"/>
      <c r="F31" s="80"/>
      <c r="G31" s="275"/>
      <c r="H31" s="80"/>
    </row>
    <row r="32" spans="1:8">
      <c r="A32" s="138"/>
      <c r="B32" s="138"/>
      <c r="C32" s="138"/>
      <c r="D32" s="138" t="s">
        <v>212</v>
      </c>
      <c r="E32" s="138"/>
      <c r="F32" s="138"/>
      <c r="G32" s="325"/>
      <c r="H32" s="138"/>
    </row>
    <row r="33" spans="1:8" ht="15.75">
      <c r="A33" s="26" t="s">
        <v>182</v>
      </c>
      <c r="B33" s="66" t="s">
        <v>196</v>
      </c>
      <c r="C33" s="138"/>
      <c r="D33" s="138" t="s">
        <v>213</v>
      </c>
      <c r="E33" s="138"/>
      <c r="F33" s="138"/>
      <c r="G33" s="325"/>
      <c r="H33" s="138"/>
    </row>
    <row r="34" spans="1:8" ht="15">
      <c r="A34" s="81" t="s">
        <v>199</v>
      </c>
      <c r="B34" s="91"/>
      <c r="C34" s="138"/>
      <c r="D34" s="91"/>
      <c r="E34" s="138"/>
      <c r="F34" s="138"/>
      <c r="G34" s="140" t="s">
        <v>214</v>
      </c>
      <c r="H34" s="138"/>
    </row>
    <row r="35" spans="1:8" ht="15">
      <c r="A35" s="81" t="s">
        <v>215</v>
      </c>
      <c r="B35" s="91"/>
      <c r="C35" s="138"/>
      <c r="D35" s="91"/>
      <c r="E35" s="138"/>
      <c r="F35" s="98" t="s">
        <v>216</v>
      </c>
      <c r="G35" s="90"/>
      <c r="H35" s="138"/>
    </row>
    <row r="36" spans="1:8" ht="15">
      <c r="A36" s="81" t="s">
        <v>203</v>
      </c>
      <c r="B36" s="91"/>
      <c r="C36" s="138"/>
      <c r="D36" s="91"/>
      <c r="E36" s="138"/>
      <c r="F36" s="98" t="s">
        <v>217</v>
      </c>
      <c r="G36" s="90"/>
      <c r="H36" s="138"/>
    </row>
    <row r="37" spans="1:8" ht="15">
      <c r="A37" s="81" t="s">
        <v>204</v>
      </c>
      <c r="B37" s="91"/>
      <c r="C37" s="138"/>
      <c r="D37" s="92"/>
      <c r="E37" s="138"/>
      <c r="F37" s="98" t="s">
        <v>218</v>
      </c>
      <c r="G37" s="90"/>
      <c r="H37" s="138"/>
    </row>
    <row r="38" spans="1:8" ht="15">
      <c r="A38" s="81" t="s">
        <v>206</v>
      </c>
      <c r="B38" s="92"/>
      <c r="C38" s="138"/>
      <c r="D38" s="92"/>
      <c r="E38" s="138"/>
      <c r="F38" s="138" t="s">
        <v>22</v>
      </c>
      <c r="G38" s="325"/>
      <c r="H38" s="138"/>
    </row>
    <row r="39" spans="1:8" ht="15">
      <c r="A39" s="81" t="s">
        <v>208</v>
      </c>
      <c r="B39" s="92"/>
      <c r="C39" s="138"/>
      <c r="D39" s="89"/>
      <c r="E39" s="138"/>
      <c r="F39" s="173" t="s">
        <v>219</v>
      </c>
      <c r="G39" s="276"/>
      <c r="H39" s="255"/>
    </row>
    <row r="40" spans="1:8" ht="15">
      <c r="A40" s="81" t="s">
        <v>209</v>
      </c>
      <c r="B40" s="89"/>
      <c r="C40" s="138"/>
      <c r="D40" s="89"/>
      <c r="E40" s="138"/>
      <c r="F40" s="37" t="s">
        <v>22</v>
      </c>
      <c r="G40" s="325"/>
      <c r="H40" s="138"/>
    </row>
    <row r="41" spans="1:8" ht="15">
      <c r="A41" s="81" t="s">
        <v>210</v>
      </c>
      <c r="B41" s="89"/>
      <c r="C41" s="138"/>
      <c r="D41" s="89"/>
      <c r="E41" s="138"/>
      <c r="F41" s="138"/>
      <c r="G41" s="325"/>
      <c r="H41" s="138"/>
    </row>
    <row r="42" spans="1:8" ht="15">
      <c r="A42" s="81" t="s">
        <v>211</v>
      </c>
      <c r="B42" s="89"/>
      <c r="C42" s="138"/>
      <c r="D42" s="89"/>
      <c r="E42" s="138"/>
      <c r="F42" s="138"/>
      <c r="G42" s="325"/>
      <c r="H42" s="138"/>
    </row>
    <row r="43" spans="1:8" ht="15">
      <c r="A43" s="81" t="s">
        <v>220</v>
      </c>
      <c r="B43" s="405"/>
      <c r="C43" s="138"/>
      <c r="D43" s="89"/>
      <c r="E43" s="138"/>
      <c r="F43" s="138"/>
      <c r="G43" s="325"/>
      <c r="H43" s="138"/>
    </row>
    <row r="44" spans="1:8" ht="15">
      <c r="A44" s="81" t="s">
        <v>221</v>
      </c>
      <c r="B44" s="93"/>
      <c r="C44" s="138"/>
      <c r="D44" s="89"/>
      <c r="E44" s="138"/>
      <c r="F44" s="138"/>
      <c r="G44" s="325"/>
      <c r="H44" s="138"/>
    </row>
    <row r="45" spans="1:8" ht="15">
      <c r="A45" s="81" t="s">
        <v>222</v>
      </c>
      <c r="B45" s="93"/>
      <c r="C45" s="138"/>
      <c r="D45" s="89"/>
      <c r="E45" s="138"/>
      <c r="F45" s="138"/>
      <c r="G45" s="325"/>
      <c r="H45" s="138"/>
    </row>
    <row r="46" spans="1:8" ht="15">
      <c r="A46" s="81" t="s">
        <v>223</v>
      </c>
      <c r="B46" s="93"/>
      <c r="C46" s="138"/>
      <c r="D46" s="89"/>
      <c r="E46" s="138"/>
      <c r="F46" s="138"/>
      <c r="G46" s="325"/>
      <c r="H46" s="138"/>
    </row>
    <row r="47" spans="1:8" ht="13.5" thickBot="1">
      <c r="A47" s="277"/>
      <c r="B47" s="278"/>
      <c r="C47" s="80"/>
      <c r="D47" s="80"/>
      <c r="E47" s="80"/>
      <c r="F47" s="80"/>
      <c r="G47" s="275"/>
      <c r="H47" s="80"/>
    </row>
    <row r="48" spans="1:8">
      <c r="A48" s="138"/>
      <c r="B48" s="138"/>
      <c r="C48" s="138"/>
      <c r="D48" s="138" t="s">
        <v>224</v>
      </c>
      <c r="E48" s="138"/>
      <c r="F48" s="138"/>
      <c r="G48" s="325"/>
      <c r="H48" s="138"/>
    </row>
    <row r="49" spans="1:8" ht="15.75">
      <c r="A49" s="26" t="s">
        <v>183</v>
      </c>
      <c r="B49" s="66" t="s">
        <v>196</v>
      </c>
      <c r="C49" s="138"/>
      <c r="D49" s="138" t="s">
        <v>213</v>
      </c>
      <c r="E49" s="138"/>
      <c r="F49" s="138"/>
      <c r="G49" s="325"/>
      <c r="H49" s="138"/>
    </row>
    <row r="50" spans="1:8" ht="15">
      <c r="A50" s="81" t="s">
        <v>199</v>
      </c>
      <c r="B50" s="91"/>
      <c r="C50" s="138"/>
      <c r="D50" s="91"/>
      <c r="E50" s="138"/>
      <c r="F50" s="138"/>
      <c r="G50" s="140" t="s">
        <v>214</v>
      </c>
      <c r="H50" s="138"/>
    </row>
    <row r="51" spans="1:8" ht="15">
      <c r="A51" s="81" t="s">
        <v>215</v>
      </c>
      <c r="B51" s="91"/>
      <c r="C51" s="138"/>
      <c r="D51" s="91"/>
      <c r="E51" s="138"/>
      <c r="F51" s="98" t="s">
        <v>216</v>
      </c>
      <c r="G51" s="90"/>
      <c r="H51" s="138"/>
    </row>
    <row r="52" spans="1:8" ht="15">
      <c r="A52" s="81" t="s">
        <v>203</v>
      </c>
      <c r="B52" s="91"/>
      <c r="C52" s="138"/>
      <c r="D52" s="91"/>
      <c r="E52" s="138"/>
      <c r="F52" s="98" t="s">
        <v>217</v>
      </c>
      <c r="G52" s="90"/>
      <c r="H52" s="138"/>
    </row>
    <row r="53" spans="1:8" ht="15">
      <c r="A53" s="81" t="s">
        <v>204</v>
      </c>
      <c r="B53" s="91"/>
      <c r="C53" s="138"/>
      <c r="D53" s="89"/>
      <c r="E53" s="138"/>
      <c r="F53" s="98" t="s">
        <v>218</v>
      </c>
      <c r="G53" s="90"/>
      <c r="H53" s="138"/>
    </row>
    <row r="54" spans="1:8" ht="15">
      <c r="A54" s="81" t="s">
        <v>206</v>
      </c>
      <c r="B54" s="92"/>
      <c r="C54" s="138"/>
      <c r="D54" s="92"/>
      <c r="E54" s="138"/>
      <c r="F54" s="138" t="s">
        <v>22</v>
      </c>
      <c r="G54" s="325"/>
      <c r="H54" s="138"/>
    </row>
    <row r="55" spans="1:8" ht="15">
      <c r="A55" s="81" t="s">
        <v>208</v>
      </c>
      <c r="B55" s="92"/>
      <c r="C55" s="138"/>
      <c r="D55" s="89"/>
      <c r="E55" s="138"/>
      <c r="F55" s="173" t="s">
        <v>219</v>
      </c>
      <c r="G55" s="276"/>
      <c r="H55" s="255"/>
    </row>
    <row r="56" spans="1:8" ht="15">
      <c r="A56" s="81" t="s">
        <v>209</v>
      </c>
      <c r="B56" s="89"/>
      <c r="C56" s="138"/>
      <c r="D56" s="89"/>
      <c r="E56" s="138"/>
      <c r="F56" s="37" t="s">
        <v>22</v>
      </c>
      <c r="G56" s="325"/>
      <c r="H56" s="138"/>
    </row>
    <row r="57" spans="1:8" ht="15">
      <c r="A57" s="81" t="s">
        <v>210</v>
      </c>
      <c r="B57" s="89"/>
      <c r="C57" s="138"/>
      <c r="D57" s="89"/>
      <c r="E57" s="138"/>
      <c r="F57" s="138"/>
      <c r="G57" s="325"/>
      <c r="H57" s="138"/>
    </row>
    <row r="58" spans="1:8" ht="15">
      <c r="A58" s="81" t="s">
        <v>211</v>
      </c>
      <c r="B58" s="89"/>
      <c r="C58" s="138"/>
      <c r="D58" s="89"/>
      <c r="E58" s="138"/>
      <c r="F58" s="138"/>
      <c r="G58" s="325"/>
      <c r="H58" s="138"/>
    </row>
    <row r="59" spans="1:8" ht="15">
      <c r="A59" s="81" t="s">
        <v>220</v>
      </c>
      <c r="B59" s="405"/>
      <c r="C59" s="138"/>
      <c r="D59" s="89"/>
      <c r="E59" s="138"/>
      <c r="F59" s="138"/>
      <c r="G59" s="325"/>
      <c r="H59" s="138"/>
    </row>
    <row r="60" spans="1:8" ht="15">
      <c r="A60" s="81" t="s">
        <v>221</v>
      </c>
      <c r="B60" s="93"/>
      <c r="C60" s="138"/>
      <c r="D60" s="89"/>
      <c r="E60" s="138"/>
      <c r="F60" s="138"/>
      <c r="G60" s="325"/>
      <c r="H60" s="138"/>
    </row>
    <row r="61" spans="1:8" ht="15">
      <c r="A61" s="81" t="s">
        <v>222</v>
      </c>
      <c r="B61" s="93"/>
      <c r="C61" s="138"/>
      <c r="D61" s="89"/>
      <c r="E61" s="138"/>
      <c r="F61" s="138"/>
      <c r="G61" s="325"/>
      <c r="H61" s="138"/>
    </row>
    <row r="62" spans="1:8" ht="15">
      <c r="A62" s="81" t="s">
        <v>223</v>
      </c>
      <c r="B62" s="93"/>
      <c r="C62" s="138"/>
      <c r="D62" s="89"/>
      <c r="E62" s="138"/>
      <c r="F62" s="138"/>
      <c r="G62" s="325"/>
      <c r="H62" s="138"/>
    </row>
    <row r="63" spans="1:8" ht="13.5" thickBot="1">
      <c r="A63" s="277"/>
      <c r="B63" s="278"/>
      <c r="C63" s="80"/>
      <c r="D63" s="80" t="s">
        <v>22</v>
      </c>
      <c r="E63" s="80"/>
      <c r="F63" s="80"/>
      <c r="G63" s="275"/>
      <c r="H63" s="80"/>
    </row>
    <row r="64" spans="1:8">
      <c r="A64" s="138" t="s">
        <v>22</v>
      </c>
      <c r="B64" s="138"/>
      <c r="C64" s="138"/>
      <c r="D64" s="138" t="s">
        <v>225</v>
      </c>
      <c r="E64" s="138"/>
      <c r="F64" s="138"/>
      <c r="G64" s="325"/>
      <c r="H64" s="138"/>
    </row>
    <row r="65" spans="1:8" ht="15.75">
      <c r="A65" s="26" t="s">
        <v>226</v>
      </c>
      <c r="B65" s="66" t="s">
        <v>196</v>
      </c>
      <c r="C65" s="138"/>
      <c r="D65" s="138" t="s">
        <v>213</v>
      </c>
      <c r="E65" s="138"/>
      <c r="F65" s="138"/>
      <c r="G65" s="325"/>
      <c r="H65" s="138"/>
    </row>
    <row r="66" spans="1:8" ht="15">
      <c r="A66" s="81" t="s">
        <v>199</v>
      </c>
      <c r="B66" s="91"/>
      <c r="C66" s="138"/>
      <c r="D66" s="91"/>
      <c r="E66" s="138"/>
      <c r="F66" s="138"/>
      <c r="G66" s="140" t="s">
        <v>214</v>
      </c>
      <c r="H66" s="138"/>
    </row>
    <row r="67" spans="1:8" ht="15">
      <c r="A67" s="81" t="s">
        <v>215</v>
      </c>
      <c r="B67" s="91"/>
      <c r="C67" s="138"/>
      <c r="D67" s="91"/>
      <c r="E67" s="138"/>
      <c r="F67" s="98" t="s">
        <v>216</v>
      </c>
      <c r="G67" s="90"/>
      <c r="H67" s="138"/>
    </row>
    <row r="68" spans="1:8" ht="15">
      <c r="A68" s="81" t="s">
        <v>203</v>
      </c>
      <c r="B68" s="91"/>
      <c r="C68" s="138"/>
      <c r="D68" s="91"/>
      <c r="E68" s="138"/>
      <c r="F68" s="98" t="s">
        <v>217</v>
      </c>
      <c r="G68" s="90"/>
      <c r="H68" s="138"/>
    </row>
    <row r="69" spans="1:8" ht="15">
      <c r="A69" s="81" t="s">
        <v>204</v>
      </c>
      <c r="B69" s="91"/>
      <c r="C69" s="138"/>
      <c r="D69" s="92"/>
      <c r="E69" s="138"/>
      <c r="F69" s="98" t="s">
        <v>218</v>
      </c>
      <c r="G69" s="90"/>
      <c r="H69" s="138"/>
    </row>
    <row r="70" spans="1:8" ht="15">
      <c r="A70" s="81" t="s">
        <v>206</v>
      </c>
      <c r="B70" s="92"/>
      <c r="C70" s="138"/>
      <c r="D70" s="92"/>
      <c r="E70" s="138"/>
      <c r="F70" s="138" t="s">
        <v>22</v>
      </c>
      <c r="G70" s="325"/>
      <c r="H70" s="138"/>
    </row>
    <row r="71" spans="1:8" ht="15">
      <c r="A71" s="81" t="s">
        <v>208</v>
      </c>
      <c r="B71" s="92"/>
      <c r="C71" s="138"/>
      <c r="D71" s="89"/>
      <c r="E71" s="138"/>
      <c r="F71" s="173" t="s">
        <v>219</v>
      </c>
      <c r="G71" s="276"/>
      <c r="H71" s="255"/>
    </row>
    <row r="72" spans="1:8" ht="15">
      <c r="A72" s="81" t="s">
        <v>209</v>
      </c>
      <c r="B72" s="89"/>
      <c r="C72" s="138"/>
      <c r="D72" s="89"/>
      <c r="E72" s="138"/>
      <c r="F72" s="37" t="s">
        <v>22</v>
      </c>
      <c r="G72" s="325"/>
      <c r="H72" s="138"/>
    </row>
    <row r="73" spans="1:8" ht="15">
      <c r="A73" s="81" t="s">
        <v>210</v>
      </c>
      <c r="B73" s="89"/>
      <c r="C73" s="138"/>
      <c r="D73" s="89"/>
      <c r="E73" s="138"/>
      <c r="F73" s="138"/>
      <c r="G73" s="325"/>
      <c r="H73" s="138"/>
    </row>
    <row r="74" spans="1:8" ht="15">
      <c r="A74" s="81" t="s">
        <v>211</v>
      </c>
      <c r="B74" s="89"/>
      <c r="C74" s="138"/>
      <c r="D74" s="89"/>
      <c r="E74" s="138"/>
      <c r="F74" s="138"/>
      <c r="G74" s="325"/>
      <c r="H74" s="138"/>
    </row>
    <row r="75" spans="1:8" ht="15">
      <c r="A75" s="81" t="s">
        <v>220</v>
      </c>
      <c r="B75" s="89"/>
      <c r="C75" s="138"/>
      <c r="D75" s="89"/>
      <c r="E75" s="138"/>
      <c r="F75" s="138"/>
      <c r="G75" s="325"/>
      <c r="H75" s="138"/>
    </row>
    <row r="76" spans="1:8" ht="15">
      <c r="A76" s="81" t="s">
        <v>221</v>
      </c>
      <c r="B76" s="93"/>
      <c r="C76" s="138"/>
      <c r="D76" s="89"/>
      <c r="E76" s="138"/>
      <c r="F76" s="138"/>
      <c r="G76" s="325"/>
      <c r="H76" s="138"/>
    </row>
    <row r="77" spans="1:8" ht="15">
      <c r="A77" s="81" t="s">
        <v>222</v>
      </c>
      <c r="B77" s="93"/>
      <c r="C77" s="138"/>
      <c r="D77" s="89"/>
      <c r="E77" s="138"/>
      <c r="F77" s="138"/>
      <c r="G77" s="325"/>
      <c r="H77" s="138"/>
    </row>
    <row r="78" spans="1:8" ht="15">
      <c r="A78" s="81" t="s">
        <v>223</v>
      </c>
      <c r="B78" s="93"/>
      <c r="C78" s="138"/>
      <c r="D78" s="89"/>
      <c r="E78" s="138"/>
      <c r="F78" s="138"/>
      <c r="G78" s="325"/>
      <c r="H78" s="138"/>
    </row>
    <row r="79" spans="1:8">
      <c r="A79" s="138"/>
      <c r="B79" s="138"/>
      <c r="C79" s="138"/>
      <c r="D79" s="138"/>
      <c r="E79" s="138"/>
      <c r="F79" s="138"/>
      <c r="G79" s="325"/>
      <c r="H79" s="138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2F81-01B4-4D75-A353-F9982CD6E509}">
  <sheetPr codeName="Sheet21">
    <tabColor rgb="FFFF0000"/>
  </sheetPr>
  <dimension ref="A1"/>
  <sheetViews>
    <sheetView topLeftCell="B1" workbookViewId="0">
      <selection activeCell="H16" sqref="H16"/>
    </sheetView>
  </sheetViews>
  <sheetFormatPr defaultColWidth="9" defaultRowHeight="15"/>
  <cols>
    <col min="1" max="16384" width="9" style="18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X24"/>
  <sheetViews>
    <sheetView showGridLines="0" zoomScale="85" zoomScaleNormal="85" workbookViewId="0">
      <selection activeCell="B24" sqref="B24"/>
    </sheetView>
  </sheetViews>
  <sheetFormatPr defaultColWidth="9" defaultRowHeight="12.75"/>
  <cols>
    <col min="1" max="1" width="24" style="5" customWidth="1"/>
    <col min="2" max="2" width="18.7109375" style="5" customWidth="1"/>
    <col min="3" max="3" width="10.28515625" style="5" customWidth="1"/>
    <col min="4" max="4" width="11.7109375" style="5" customWidth="1"/>
    <col min="5" max="5" width="5" style="5" customWidth="1"/>
    <col min="6" max="10" width="9" style="5"/>
    <col min="11" max="11" width="4.85546875" style="5" customWidth="1"/>
    <col min="12" max="12" width="9" style="5" hidden="1" customWidth="1"/>
    <col min="13" max="13" width="3.7109375" style="5" customWidth="1"/>
    <col min="14" max="14" width="9" style="5"/>
    <col min="15" max="15" width="14" style="5" bestFit="1" customWidth="1"/>
    <col min="16" max="16" width="14.7109375" style="5" bestFit="1" customWidth="1"/>
    <col min="17" max="18" width="14.7109375" style="5" customWidth="1"/>
    <col min="19" max="19" width="15.28515625" style="5" customWidth="1"/>
    <col min="20" max="20" width="19.140625" style="5" customWidth="1"/>
    <col min="21" max="21" width="11.7109375" style="5" customWidth="1"/>
    <col min="22" max="22" width="9" style="5"/>
    <col min="23" max="23" width="10.7109375" style="5" customWidth="1"/>
    <col min="24" max="24" width="13.85546875" style="5" customWidth="1"/>
    <col min="25" max="16384" width="9" style="5"/>
  </cols>
  <sheetData>
    <row r="1" spans="1:24" ht="18">
      <c r="A1" s="45" t="s">
        <v>227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 t="s">
        <v>22</v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</row>
    <row r="2" spans="1:24" ht="21">
      <c r="A2" s="45" t="s">
        <v>228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</row>
    <row r="3" spans="1:24" ht="13.5" thickBot="1">
      <c r="A3" s="9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</row>
    <row r="4" spans="1:24" ht="19.5" thickBot="1">
      <c r="A4" s="98" t="s">
        <v>229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447" t="s">
        <v>230</v>
      </c>
      <c r="O4" s="448"/>
      <c r="P4" s="448"/>
      <c r="Q4" s="448"/>
      <c r="R4" s="448"/>
      <c r="S4" s="448"/>
      <c r="T4" s="448"/>
      <c r="U4" s="448"/>
      <c r="V4" s="449"/>
      <c r="W4" s="138"/>
      <c r="X4" s="138"/>
    </row>
    <row r="5" spans="1:24" ht="13.5" thickBot="1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</row>
    <row r="6" spans="1:24" ht="15.75" thickBot="1">
      <c r="A6" s="2" t="s">
        <v>231</v>
      </c>
      <c r="B6" s="94"/>
      <c r="C6" s="2" t="s">
        <v>232</v>
      </c>
      <c r="D6" s="2"/>
      <c r="E6" s="2"/>
      <c r="F6" s="2"/>
      <c r="G6" s="2"/>
      <c r="H6" s="2"/>
      <c r="I6" s="2"/>
      <c r="J6" s="2"/>
      <c r="K6" s="2"/>
      <c r="L6" s="2"/>
      <c r="M6" s="60" t="s">
        <v>22</v>
      </c>
      <c r="N6" s="2"/>
      <c r="O6" s="2"/>
      <c r="P6" s="2"/>
      <c r="Q6" s="2"/>
      <c r="R6" s="2"/>
      <c r="S6" s="138"/>
      <c r="T6" s="138"/>
      <c r="U6" s="138"/>
      <c r="V6" s="138"/>
      <c r="W6" s="138"/>
      <c r="X6" s="138"/>
    </row>
    <row r="7" spans="1:24" ht="19.5" customHeight="1" thickBot="1">
      <c r="A7" s="2" t="s">
        <v>233</v>
      </c>
      <c r="B7" s="239"/>
      <c r="C7" s="2" t="s">
        <v>234</v>
      </c>
      <c r="D7" s="2"/>
      <c r="E7" s="2"/>
      <c r="F7" s="2"/>
      <c r="G7" s="2"/>
      <c r="H7" s="2"/>
      <c r="I7" s="2"/>
      <c r="J7" s="2"/>
      <c r="K7" s="2"/>
      <c r="L7" s="2"/>
      <c r="M7" s="2"/>
      <c r="N7"/>
      <c r="O7" s="450" t="s">
        <v>235</v>
      </c>
      <c r="P7" s="441"/>
      <c r="Q7" s="441"/>
      <c r="R7" s="441"/>
      <c r="S7" s="441"/>
      <c r="T7" s="441"/>
      <c r="U7" s="441"/>
      <c r="V7" s="441"/>
      <c r="W7" s="441"/>
      <c r="X7" s="442"/>
    </row>
    <row r="8" spans="1:24" ht="16.5" thickBot="1">
      <c r="A8" s="2" t="s">
        <v>236</v>
      </c>
      <c r="B8" s="411"/>
      <c r="C8" s="2" t="s">
        <v>237</v>
      </c>
      <c r="D8" s="2"/>
      <c r="E8" s="2"/>
      <c r="F8" s="2"/>
      <c r="G8" s="2"/>
      <c r="H8" s="2"/>
      <c r="I8" s="2"/>
      <c r="J8" s="2"/>
      <c r="K8" s="2"/>
      <c r="L8" s="2"/>
      <c r="M8" s="2"/>
      <c r="N8" s="61" t="s">
        <v>22</v>
      </c>
      <c r="O8" s="361">
        <f ca="1">'DCF Analysis'!D22</f>
        <v>0</v>
      </c>
      <c r="P8" s="362">
        <v>0.04</v>
      </c>
      <c r="Q8" s="363">
        <v>4.4999999999999998E-2</v>
      </c>
      <c r="R8" s="363">
        <v>0.05</v>
      </c>
      <c r="S8" s="363">
        <v>5.5E-2</v>
      </c>
      <c r="T8" s="363">
        <v>0.06</v>
      </c>
      <c r="U8" s="364">
        <v>6.5000000000000002E-2</v>
      </c>
      <c r="V8" s="364">
        <v>7.0000000000000007E-2</v>
      </c>
      <c r="W8" s="364">
        <v>7.4999999999999997E-2</v>
      </c>
      <c r="X8" s="365">
        <v>0.08</v>
      </c>
    </row>
    <row r="9" spans="1:24" ht="21.75" thickBot="1">
      <c r="A9" s="2" t="s">
        <v>238</v>
      </c>
      <c r="B9" s="408"/>
      <c r="C9" s="2" t="s">
        <v>232</v>
      </c>
      <c r="D9" s="2"/>
      <c r="E9" s="2"/>
      <c r="F9" s="2"/>
      <c r="G9" s="2"/>
      <c r="H9" s="2"/>
      <c r="I9" s="2"/>
      <c r="J9" s="2"/>
      <c r="K9" s="2"/>
      <c r="L9" s="2"/>
      <c r="M9" s="2"/>
      <c r="N9" s="32"/>
      <c r="O9" s="366">
        <v>1.4999999999999999E-2</v>
      </c>
      <c r="P9" s="367"/>
      <c r="Q9" s="367"/>
      <c r="R9" s="367"/>
      <c r="S9" s="367"/>
      <c r="T9" s="367"/>
      <c r="U9" s="368"/>
      <c r="V9" s="369"/>
      <c r="W9" s="369"/>
      <c r="X9" s="434"/>
    </row>
    <row r="10" spans="1:24" ht="21.75" thickBot="1">
      <c r="A10" s="2" t="s">
        <v>239</v>
      </c>
      <c r="B10" s="95"/>
      <c r="C10" s="2" t="s">
        <v>240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370">
        <v>1.7500000000000002E-2</v>
      </c>
      <c r="P10" s="371"/>
      <c r="Q10" s="371"/>
      <c r="R10" s="371"/>
      <c r="S10" s="371"/>
      <c r="T10" s="371"/>
      <c r="U10" s="46"/>
      <c r="V10" s="138"/>
      <c r="W10" s="138"/>
      <c r="X10" s="435"/>
    </row>
    <row r="11" spans="1:24" ht="21" thickBot="1">
      <c r="A11" s="138" t="s">
        <v>241</v>
      </c>
      <c r="B11" s="412"/>
      <c r="C11" s="2" t="s">
        <v>242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370">
        <v>0.02</v>
      </c>
      <c r="P11" s="371"/>
      <c r="Q11" s="371"/>
      <c r="R11" s="371"/>
      <c r="S11" s="371"/>
      <c r="T11" s="371"/>
      <c r="U11" s="46"/>
      <c r="V11" s="138"/>
      <c r="W11" s="138"/>
      <c r="X11" s="435"/>
    </row>
    <row r="12" spans="1:24" ht="21" thickBot="1">
      <c r="A12" s="2" t="s">
        <v>243</v>
      </c>
      <c r="B12" s="40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3"/>
      <c r="O12" s="370">
        <v>2.2499999999999999E-2</v>
      </c>
      <c r="P12" s="371"/>
      <c r="Q12" s="371"/>
      <c r="R12" s="371"/>
      <c r="S12" s="371"/>
      <c r="T12" s="371"/>
      <c r="U12" s="46"/>
      <c r="V12" s="138"/>
      <c r="W12" s="138"/>
      <c r="X12" s="435"/>
    </row>
    <row r="13" spans="1:24" ht="21" thickBot="1">
      <c r="A13" s="2" t="s">
        <v>235</v>
      </c>
      <c r="B13" s="410"/>
      <c r="C13" s="2" t="e">
        <f ca="1">_xlfn.FORMULATEXT(B13)</f>
        <v>#N/A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370">
        <v>2.5000000000000001E-2</v>
      </c>
      <c r="P13" s="371"/>
      <c r="Q13" s="371"/>
      <c r="R13" s="371"/>
      <c r="S13" s="371"/>
      <c r="T13" s="371"/>
      <c r="U13" s="46"/>
      <c r="V13" s="138"/>
      <c r="W13" s="138"/>
      <c r="X13" s="435"/>
    </row>
    <row r="14" spans="1:24" ht="2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370">
        <v>2.75E-2</v>
      </c>
      <c r="P14" s="371"/>
      <c r="Q14" s="371"/>
      <c r="R14" s="371"/>
      <c r="S14" s="371"/>
      <c r="T14" s="371"/>
      <c r="U14" s="46"/>
      <c r="V14" s="138"/>
      <c r="W14" s="138"/>
      <c r="X14" s="435"/>
    </row>
    <row r="15" spans="1:24" ht="21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3"/>
      <c r="O15" s="370">
        <v>0.03</v>
      </c>
      <c r="P15" s="371"/>
      <c r="Q15" s="371"/>
      <c r="R15" s="371"/>
      <c r="S15" s="371"/>
      <c r="T15" s="371"/>
      <c r="U15" s="46"/>
      <c r="V15" s="138"/>
      <c r="W15" s="138"/>
      <c r="X15" s="435"/>
    </row>
    <row r="16" spans="1:24" ht="21" thickBot="1">
      <c r="A16" s="2" t="s">
        <v>208</v>
      </c>
      <c r="B16" s="413"/>
      <c r="C16" s="2" t="s">
        <v>244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34"/>
      <c r="O16" s="372">
        <v>3.2500000000000001E-2</v>
      </c>
      <c r="P16" s="373"/>
      <c r="Q16" s="373"/>
      <c r="R16" s="373"/>
      <c r="S16" s="373"/>
      <c r="T16" s="373"/>
      <c r="U16" s="374"/>
      <c r="V16" s="80"/>
      <c r="W16" s="80"/>
      <c r="X16" s="436"/>
    </row>
    <row r="17" spans="1:22" ht="21" thickBot="1">
      <c r="A17" s="2" t="s">
        <v>169</v>
      </c>
      <c r="B17" s="414"/>
      <c r="C17" s="2" t="s">
        <v>245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/>
      <c r="O17" s="46"/>
      <c r="P17" s="62"/>
      <c r="Q17" s="62"/>
      <c r="R17" s="62"/>
      <c r="S17" s="62"/>
      <c r="T17" s="62"/>
      <c r="U17" s="46"/>
      <c r="V17" s="138"/>
    </row>
    <row r="18" spans="1:22" ht="16.5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/>
      <c r="O18" s="2"/>
      <c r="P18" s="2"/>
      <c r="Q18" s="2"/>
      <c r="R18" s="2"/>
      <c r="S18" s="138"/>
      <c r="T18" s="138"/>
      <c r="U18" s="138"/>
      <c r="V18" s="138"/>
    </row>
    <row r="19" spans="1:22" ht="19.5" thickBot="1">
      <c r="A19" s="3" t="s">
        <v>246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47" t="s">
        <v>230</v>
      </c>
      <c r="O19" s="448"/>
      <c r="P19" s="448"/>
      <c r="Q19" s="448"/>
      <c r="R19" s="448"/>
      <c r="S19" s="448"/>
      <c r="T19" s="448"/>
      <c r="U19" s="448"/>
      <c r="V19" s="449"/>
    </row>
    <row r="20" spans="1:22" ht="15.75">
      <c r="A20" s="138" t="s">
        <v>247</v>
      </c>
      <c r="B20" s="415">
        <v>2.5000000000000001E-2</v>
      </c>
      <c r="C20" s="2" t="s">
        <v>22</v>
      </c>
      <c r="D20" s="298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38"/>
      <c r="T20" s="138"/>
      <c r="U20" s="138"/>
      <c r="V20" s="138"/>
    </row>
    <row r="21" spans="1:22" ht="15.75">
      <c r="A21" s="3" t="s">
        <v>22</v>
      </c>
      <c r="B21" s="2"/>
      <c r="C21" s="2"/>
      <c r="D21" s="2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38"/>
      <c r="T21" s="138"/>
      <c r="U21" s="138"/>
      <c r="V21" s="138"/>
    </row>
    <row r="22" spans="1:2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38"/>
      <c r="T22" s="138"/>
      <c r="U22" s="138"/>
      <c r="V22" s="138"/>
    </row>
    <row r="23" spans="1:2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38"/>
      <c r="T23" s="138"/>
      <c r="U23" s="138"/>
      <c r="V23" s="138"/>
    </row>
    <row r="24" spans="1:2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38"/>
      <c r="T24" s="138"/>
      <c r="U24" s="138"/>
      <c r="V24" s="138"/>
    </row>
  </sheetData>
  <mergeCells count="3">
    <mergeCell ref="N19:V19"/>
    <mergeCell ref="N4:V4"/>
    <mergeCell ref="O7:X7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98B3-EBCF-4A19-A2E4-212CF7AA11CA}">
  <sheetPr codeName="Sheet22"/>
  <dimension ref="A1:S55"/>
  <sheetViews>
    <sheetView workbookViewId="0">
      <selection activeCell="H19" sqref="H19"/>
    </sheetView>
  </sheetViews>
  <sheetFormatPr defaultColWidth="8.85546875" defaultRowHeight="21"/>
  <cols>
    <col min="1" max="1" width="42" customWidth="1"/>
    <col min="2" max="2" width="17.7109375" customWidth="1"/>
    <col min="3" max="3" width="17" customWidth="1"/>
    <col min="4" max="4" width="17.85546875" customWidth="1"/>
    <col min="5" max="5" width="17" customWidth="1"/>
    <col min="6" max="6" width="11.7109375" bestFit="1" customWidth="1"/>
    <col min="7" max="7" width="12" customWidth="1"/>
    <col min="8" max="8" width="13" customWidth="1"/>
    <col min="9" max="9" width="12.28515625" customWidth="1"/>
    <col min="11" max="11" width="16" customWidth="1"/>
    <col min="12" max="12" width="5.28515625" customWidth="1"/>
    <col min="13" max="13" width="18.28515625" customWidth="1"/>
    <col min="14" max="14" width="13.28515625" bestFit="1" customWidth="1"/>
    <col min="15" max="15" width="16" style="307" customWidth="1"/>
    <col min="16" max="16" width="12.7109375" style="307" customWidth="1"/>
  </cols>
  <sheetData>
    <row r="1" spans="1:19" ht="26.85" customHeight="1">
      <c r="A1" s="454" t="s">
        <v>248</v>
      </c>
      <c r="B1" s="455"/>
      <c r="C1" s="455"/>
      <c r="D1" s="455"/>
    </row>
    <row r="4" spans="1:19" thickBot="1">
      <c r="M4" s="200"/>
      <c r="N4" s="200"/>
      <c r="O4" s="308"/>
      <c r="P4" s="308"/>
      <c r="Q4" s="200"/>
      <c r="R4" s="200"/>
      <c r="S4" s="200"/>
    </row>
    <row r="5" spans="1:19" thickBot="1">
      <c r="A5" s="452" t="s">
        <v>249</v>
      </c>
      <c r="B5" s="452"/>
      <c r="C5" s="452"/>
      <c r="D5" s="212" t="s">
        <v>250</v>
      </c>
      <c r="E5" s="212" t="s">
        <v>251</v>
      </c>
      <c r="F5" s="212" t="s">
        <v>252</v>
      </c>
      <c r="G5" s="210" t="s">
        <v>253</v>
      </c>
      <c r="H5" s="210" t="s">
        <v>254</v>
      </c>
      <c r="I5" s="210" t="s">
        <v>255</v>
      </c>
      <c r="J5" s="213" t="s">
        <v>256</v>
      </c>
      <c r="K5" s="211" t="s">
        <v>257</v>
      </c>
      <c r="M5" s="200"/>
      <c r="N5" s="200"/>
      <c r="O5" s="308"/>
      <c r="P5" s="308"/>
      <c r="Q5" s="200"/>
      <c r="R5" s="200"/>
      <c r="S5" s="200"/>
    </row>
    <row r="6" spans="1:19" thickBot="1">
      <c r="A6" s="453" t="s">
        <v>258</v>
      </c>
      <c r="B6" s="453"/>
      <c r="C6" s="453"/>
      <c r="D6" s="204"/>
      <c r="E6" s="204"/>
      <c r="F6" s="204"/>
      <c r="G6" s="204"/>
      <c r="H6" s="204"/>
      <c r="I6" s="204"/>
      <c r="J6" s="204"/>
      <c r="K6" s="205"/>
      <c r="M6" s="200"/>
      <c r="N6" s="200"/>
      <c r="O6" s="308"/>
      <c r="P6" s="308"/>
      <c r="Q6" s="200"/>
      <c r="R6" s="200"/>
      <c r="S6" s="200"/>
    </row>
    <row r="7" spans="1:19" ht="22.5">
      <c r="A7" s="451"/>
      <c r="B7" s="451"/>
      <c r="C7" s="451"/>
      <c r="D7" s="343"/>
      <c r="E7" s="335"/>
      <c r="F7" s="336"/>
      <c r="G7" s="337"/>
      <c r="H7" s="337"/>
      <c r="I7" s="337"/>
      <c r="J7" s="337"/>
      <c r="K7" s="337"/>
      <c r="M7" s="258"/>
      <c r="N7" s="259"/>
      <c r="O7" s="309"/>
      <c r="P7" s="308"/>
      <c r="Q7" s="200"/>
      <c r="R7" s="200"/>
      <c r="S7" s="200"/>
    </row>
    <row r="8" spans="1:19" ht="20.25">
      <c r="A8" s="451"/>
      <c r="B8" s="451"/>
      <c r="C8" s="451"/>
      <c r="D8" s="343"/>
      <c r="E8" s="335"/>
      <c r="F8" s="338"/>
      <c r="G8" s="337"/>
      <c r="H8" s="337"/>
      <c r="I8" s="337"/>
      <c r="J8" s="337"/>
      <c r="K8" s="337"/>
      <c r="M8" s="258"/>
      <c r="N8" s="259"/>
      <c r="O8" s="308"/>
      <c r="P8" s="308"/>
      <c r="Q8" s="200"/>
      <c r="R8" s="200"/>
      <c r="S8" s="200"/>
    </row>
    <row r="9" spans="1:19" ht="20.25">
      <c r="A9" s="451" t="s">
        <v>259</v>
      </c>
      <c r="B9" s="451"/>
      <c r="C9" s="451"/>
      <c r="D9" s="343">
        <v>2024</v>
      </c>
      <c r="E9" s="335">
        <v>5.0000000000000001E-3</v>
      </c>
      <c r="F9" s="339">
        <v>534</v>
      </c>
      <c r="G9" s="337" cm="1">
        <f t="array" ref="G9">_xlfn.XLOOKUP(D9&amp;E9,'Debt details'!D$2:D$31&amp;'Debt details'!C$2:C$31,'Debt details'!E$2:E$31)</f>
        <v>99.981999999999999</v>
      </c>
      <c r="H9" s="201"/>
      <c r="I9" s="206"/>
      <c r="J9" s="153"/>
      <c r="K9" s="82"/>
      <c r="M9" s="387"/>
      <c r="N9" s="259"/>
      <c r="O9" s="308"/>
      <c r="P9" s="310"/>
      <c r="Q9" s="200"/>
      <c r="R9" s="200"/>
      <c r="S9" s="200"/>
    </row>
    <row r="10" spans="1:19" ht="20.25">
      <c r="A10" s="456" t="s">
        <v>260</v>
      </c>
      <c r="B10" s="456"/>
      <c r="C10" s="456"/>
      <c r="D10" s="343">
        <v>2024</v>
      </c>
      <c r="E10" s="335">
        <v>6.2500000000000003E-3</v>
      </c>
      <c r="F10" s="339">
        <v>855</v>
      </c>
      <c r="G10" s="337" cm="1">
        <f t="array" ref="G10">_xlfn.XLOOKUP(D10&amp;E10,'Debt details'!D$2:D$31&amp;'Debt details'!C$2:C$31,'Debt details'!E$2:E$31)</f>
        <v>99.980999999999995</v>
      </c>
      <c r="H10" s="201"/>
      <c r="I10" s="206"/>
      <c r="J10" s="153"/>
      <c r="K10" s="82"/>
      <c r="M10" s="258"/>
      <c r="N10" s="259"/>
      <c r="O10" s="308"/>
      <c r="P10" s="308"/>
      <c r="Q10" s="200"/>
      <c r="R10" s="200"/>
      <c r="S10" s="200"/>
    </row>
    <row r="11" spans="1:19" ht="20.25">
      <c r="A11" s="451" t="s">
        <v>261</v>
      </c>
      <c r="B11" s="451"/>
      <c r="C11" s="451"/>
      <c r="D11" s="343">
        <v>2025</v>
      </c>
      <c r="E11" s="335">
        <v>5.4999999999999997E-3</v>
      </c>
      <c r="F11" s="338">
        <v>1000</v>
      </c>
      <c r="G11" s="337" cm="1">
        <f t="array" ref="G11">_xlfn.XLOOKUP(D11&amp;E11,'Debt details'!D$2:D$31&amp;'Debt details'!C$2:C$31,'Debt details'!E$2:E$31)</f>
        <v>94.306100000000001</v>
      </c>
      <c r="H11" s="201"/>
      <c r="I11" s="206"/>
      <c r="J11" s="153"/>
      <c r="K11" s="82"/>
      <c r="M11" s="258"/>
      <c r="N11" s="259"/>
      <c r="O11" s="308"/>
      <c r="P11" s="308"/>
      <c r="Q11" s="200"/>
      <c r="R11" s="200"/>
      <c r="S11" s="200"/>
    </row>
    <row r="12" spans="1:19" ht="20.25">
      <c r="A12" s="451" t="s">
        <v>262</v>
      </c>
      <c r="B12" s="451"/>
      <c r="C12" s="451"/>
      <c r="D12" s="343">
        <v>2026</v>
      </c>
      <c r="E12" s="335">
        <v>4.1000000000000002E-2</v>
      </c>
      <c r="F12" s="339">
        <v>650</v>
      </c>
      <c r="G12" s="337" cm="1">
        <f t="array" ref="G12">_xlfn.XLOOKUP(D12&amp;E12,'Debt details'!D$2:D$31&amp;'Debt details'!C$2:C$31,'Debt details'!E$2:E$31)</f>
        <v>99.775890000000004</v>
      </c>
      <c r="H12" s="201"/>
      <c r="I12" s="206"/>
      <c r="J12" s="153"/>
      <c r="K12" s="82"/>
      <c r="M12" s="258"/>
      <c r="N12" s="259"/>
      <c r="O12" s="308"/>
      <c r="P12" s="308"/>
      <c r="Q12" s="200"/>
      <c r="R12" s="200"/>
      <c r="S12" s="200"/>
    </row>
    <row r="13" spans="1:19" ht="20.25">
      <c r="A13" s="451" t="s">
        <v>263</v>
      </c>
      <c r="B13" s="451"/>
      <c r="C13" s="451"/>
      <c r="D13" s="343">
        <v>2026</v>
      </c>
      <c r="E13" s="335">
        <v>2.7E-2</v>
      </c>
      <c r="F13" s="339">
        <v>600</v>
      </c>
      <c r="G13" s="337" cm="1">
        <f t="array" ref="G13">_xlfn.XLOOKUP(D13&amp;E13,'Debt details'!D$2:D$31&amp;'Debt details'!C$2:C$31,'Debt details'!E$2:E$31)</f>
        <v>96.588099999999997</v>
      </c>
      <c r="H13" s="201"/>
      <c r="I13" s="206"/>
      <c r="J13" s="153"/>
      <c r="K13" s="82"/>
      <c r="M13" s="258"/>
      <c r="N13" s="259"/>
      <c r="O13" s="308"/>
      <c r="P13" s="308"/>
      <c r="Q13" s="200"/>
      <c r="R13" s="200"/>
      <c r="S13" s="200"/>
    </row>
    <row r="14" spans="1:19" ht="20.25">
      <c r="A14" s="451" t="s">
        <v>264</v>
      </c>
      <c r="B14" s="451"/>
      <c r="C14" s="451"/>
      <c r="D14" s="343">
        <v>2026</v>
      </c>
      <c r="E14" s="335">
        <v>0.01</v>
      </c>
      <c r="F14" s="338">
        <v>1000</v>
      </c>
      <c r="G14" s="337" cm="1">
        <f t="array" ref="G14">_xlfn.XLOOKUP(D14&amp;E14,'Debt details'!D$2:D$31&amp;'Debt details'!C$2:C$31,'Debt details'!E$2:E$31)</f>
        <v>93.43159</v>
      </c>
      <c r="H14" s="201"/>
      <c r="I14" s="206"/>
      <c r="J14" s="153"/>
      <c r="K14" s="82"/>
      <c r="M14" s="258"/>
      <c r="N14" s="259"/>
      <c r="O14" s="308"/>
      <c r="P14" s="308"/>
      <c r="Q14" s="200"/>
      <c r="R14" s="200"/>
      <c r="S14" s="200"/>
    </row>
    <row r="15" spans="1:19" ht="20.25">
      <c r="A15" s="451" t="s">
        <v>265</v>
      </c>
      <c r="B15" s="451"/>
      <c r="C15" s="451"/>
      <c r="D15" s="343">
        <v>2026</v>
      </c>
      <c r="E15" s="335">
        <v>3.2500000000000001E-2</v>
      </c>
      <c r="F15" s="339">
        <v>695</v>
      </c>
      <c r="G15" s="337" cm="1">
        <f t="array" ref="G15">_xlfn.XLOOKUP(D15&amp;E15,'Debt details'!D$2:D$31&amp;'Debt details'!C$2:C$31,'Debt details'!E$2:E$31)</f>
        <v>99.977000000000004</v>
      </c>
      <c r="H15" s="201"/>
      <c r="I15" s="206"/>
      <c r="J15" s="153"/>
      <c r="K15" s="82"/>
      <c r="M15" s="258"/>
      <c r="N15" s="259"/>
      <c r="O15" s="308"/>
      <c r="P15" s="308"/>
      <c r="Q15" s="200"/>
      <c r="R15" s="200"/>
      <c r="S15" s="200"/>
    </row>
    <row r="16" spans="1:19" ht="20.25">
      <c r="A16" s="451" t="s">
        <v>266</v>
      </c>
      <c r="B16" s="451"/>
      <c r="C16" s="451"/>
      <c r="D16" s="343">
        <v>2026</v>
      </c>
      <c r="E16" s="335">
        <v>2.4500000000000001E-2</v>
      </c>
      <c r="F16" s="339">
        <v>875</v>
      </c>
      <c r="G16" s="337" cm="1">
        <f t="array" ref="G16">_xlfn.XLOOKUP(D16&amp;E16,'Debt details'!D$2:D$31&amp;'Debt details'!C$2:C$31,'Debt details'!E$2:E$31)</f>
        <v>94.688900000000004</v>
      </c>
      <c r="H16" s="201"/>
      <c r="I16" s="206"/>
      <c r="J16" s="153"/>
      <c r="K16" s="82"/>
      <c r="M16" s="258"/>
      <c r="N16" s="259"/>
      <c r="O16" s="308"/>
      <c r="P16" s="308"/>
      <c r="Q16" s="200"/>
      <c r="R16" s="200"/>
      <c r="S16" s="200"/>
    </row>
    <row r="17" spans="1:19" ht="20.25">
      <c r="A17" s="451" t="s">
        <v>267</v>
      </c>
      <c r="B17" s="451"/>
      <c r="C17" s="451"/>
      <c r="D17" s="343">
        <v>2027</v>
      </c>
      <c r="E17" s="335">
        <v>1.9E-2</v>
      </c>
      <c r="F17" s="338">
        <v>1000</v>
      </c>
      <c r="G17" s="337" cm="1">
        <f t="array" ref="G17">_xlfn.XLOOKUP(D17&amp;E17,'Debt details'!D$2:D$31&amp;'Debt details'!C$2:C$31,'Debt details'!E$2:E$31)</f>
        <v>93.074650000000005</v>
      </c>
      <c r="H17" s="201"/>
      <c r="I17" s="206"/>
      <c r="J17" s="153"/>
      <c r="K17" s="82"/>
      <c r="M17" s="258"/>
      <c r="N17" s="259"/>
      <c r="O17" s="308"/>
      <c r="P17" s="308"/>
      <c r="Q17" s="200"/>
      <c r="R17" s="200"/>
      <c r="S17" s="200"/>
    </row>
    <row r="18" spans="1:19" ht="20.25">
      <c r="A18" s="451" t="s">
        <v>268</v>
      </c>
      <c r="B18" s="451"/>
      <c r="C18" s="451"/>
      <c r="D18" s="343">
        <v>2027</v>
      </c>
      <c r="E18" s="335">
        <v>2.8000000000000001E-2</v>
      </c>
      <c r="F18" s="339">
        <v>500</v>
      </c>
      <c r="G18" s="337" cm="1">
        <f t="array" ref="G18">_xlfn.XLOOKUP(D18&amp;E18,'Debt details'!D$2:D$31&amp;'Debt details'!C$2:C$31,'Debt details'!E$2:E$31)</f>
        <v>95.03116</v>
      </c>
      <c r="H18" s="201"/>
      <c r="I18" s="206"/>
      <c r="J18" s="153"/>
      <c r="K18" s="82"/>
      <c r="M18" s="258"/>
      <c r="N18" s="259"/>
      <c r="O18" s="308"/>
      <c r="P18" s="308"/>
      <c r="Q18" s="200"/>
      <c r="R18" s="200"/>
      <c r="S18" s="200"/>
    </row>
    <row r="19" spans="1:19" ht="20.25">
      <c r="A19" s="451" t="s">
        <v>269</v>
      </c>
      <c r="B19" s="451"/>
      <c r="C19" s="451"/>
      <c r="D19" s="343">
        <v>2027</v>
      </c>
      <c r="E19" s="335">
        <v>4.8750000000000002E-2</v>
      </c>
      <c r="F19" s="338">
        <v>1069</v>
      </c>
      <c r="G19" s="337" cm="1">
        <f t="array" ref="G19">_xlfn.XLOOKUP(D19&amp;E19,'Debt details'!D$2:D$31&amp;'Debt details'!C$2:C$31,'Debt details'!E$2:E$31)</f>
        <v>104.566</v>
      </c>
      <c r="H19" s="201"/>
      <c r="I19" s="206"/>
      <c r="J19" s="153"/>
      <c r="K19" s="82"/>
      <c r="M19" s="388"/>
      <c r="N19" s="259"/>
      <c r="O19" s="308"/>
      <c r="P19" s="308"/>
      <c r="Q19" s="200"/>
      <c r="R19" s="200"/>
      <c r="S19" s="200"/>
    </row>
    <row r="20" spans="1:19" ht="20.25">
      <c r="A20" s="451" t="s">
        <v>270</v>
      </c>
      <c r="B20" s="451"/>
      <c r="C20" s="451"/>
      <c r="D20" s="343">
        <v>2027</v>
      </c>
      <c r="E20" s="335">
        <v>2.8500000000000001E-2</v>
      </c>
      <c r="F20" s="339">
        <v>750</v>
      </c>
      <c r="G20" s="337" cm="1">
        <f t="array" ref="G20">_xlfn.XLOOKUP(D20&amp;E20,'Debt details'!D$2:D$31&amp;'Debt details'!C$2:C$31,'Debt details'!E$2:E$31)</f>
        <v>94.453000000000003</v>
      </c>
      <c r="H20" s="201"/>
      <c r="I20" s="206"/>
      <c r="J20" s="153"/>
      <c r="K20" s="82"/>
      <c r="M20" s="258"/>
      <c r="N20" s="259"/>
      <c r="O20" s="308"/>
      <c r="P20" s="308"/>
      <c r="Q20" s="200"/>
      <c r="R20" s="200"/>
      <c r="S20" s="200"/>
    </row>
    <row r="21" spans="1:19" ht="20.25">
      <c r="A21" s="451" t="s">
        <v>271</v>
      </c>
      <c r="B21" s="451"/>
      <c r="C21" s="451"/>
      <c r="D21" s="343">
        <v>2028</v>
      </c>
      <c r="E21" s="335">
        <v>3.95E-2</v>
      </c>
      <c r="F21" s="339">
        <v>600</v>
      </c>
      <c r="G21" s="337" cm="1">
        <f t="array" ref="G21">_xlfn.XLOOKUP(D21&amp;E21,'Debt details'!D$2:D$31&amp;'Debt details'!C$2:C$31,'Debt details'!E$2:E$31)</f>
        <v>97.895870000000002</v>
      </c>
      <c r="H21" s="201"/>
      <c r="I21" s="206"/>
      <c r="J21" s="153"/>
      <c r="K21" s="82"/>
      <c r="M21" s="258"/>
      <c r="N21" s="259"/>
      <c r="O21" s="308"/>
      <c r="P21" s="308"/>
      <c r="Q21" s="200"/>
      <c r="R21" s="200"/>
      <c r="S21" s="200"/>
    </row>
    <row r="22" spans="1:19" ht="20.25">
      <c r="A22" s="451" t="s">
        <v>272</v>
      </c>
      <c r="B22" s="451"/>
      <c r="C22" s="451"/>
      <c r="D22" s="343">
        <v>2028</v>
      </c>
      <c r="E22" s="335">
        <v>3.15E-2</v>
      </c>
      <c r="F22" s="339">
        <v>695</v>
      </c>
      <c r="G22" s="337" cm="1">
        <f t="array" ref="G22">_xlfn.XLOOKUP(D22&amp;E22,'Debt details'!D$2:D$31&amp;'Debt details'!C$2:C$31,'Debt details'!E$2:E$31)</f>
        <v>99.852999999999994</v>
      </c>
      <c r="H22" s="201"/>
      <c r="I22" s="206"/>
      <c r="J22" s="153"/>
      <c r="K22" s="82"/>
      <c r="M22" s="258"/>
      <c r="N22" s="259"/>
      <c r="O22" s="308"/>
      <c r="P22" s="308"/>
      <c r="Q22" s="200"/>
      <c r="R22" s="200"/>
      <c r="S22" s="200"/>
    </row>
    <row r="23" spans="1:19" ht="20.25">
      <c r="A23" s="451" t="s">
        <v>273</v>
      </c>
      <c r="B23" s="451"/>
      <c r="C23" s="451"/>
      <c r="D23" s="343">
        <v>2028</v>
      </c>
      <c r="E23" s="335">
        <v>1.2E-2</v>
      </c>
      <c r="F23" s="339">
        <v>855</v>
      </c>
      <c r="G23" s="337" cm="1">
        <f t="array" ref="G23">_xlfn.XLOOKUP(D23&amp;E23,'Debt details'!D$2:D$31&amp;'Debt details'!C$2:C$31,'Debt details'!E$2:E$31)</f>
        <v>92.313000000000002</v>
      </c>
      <c r="H23" s="201"/>
      <c r="I23" s="206"/>
      <c r="J23" s="153"/>
      <c r="K23" s="82"/>
      <c r="M23" s="258"/>
      <c r="N23" s="259"/>
      <c r="O23" s="308"/>
      <c r="P23" s="308"/>
      <c r="Q23" s="200"/>
      <c r="R23" s="200"/>
      <c r="S23" s="200"/>
    </row>
    <row r="24" spans="1:19" ht="20.25">
      <c r="A24" s="451" t="s">
        <v>274</v>
      </c>
      <c r="B24" s="451"/>
      <c r="C24" s="451"/>
      <c r="D24" s="343">
        <v>2029</v>
      </c>
      <c r="E24" s="335">
        <v>4.3499999999999997E-2</v>
      </c>
      <c r="F24" s="339">
        <v>600</v>
      </c>
      <c r="G24" s="337" cm="1">
        <f t="array" ref="G24">_xlfn.XLOOKUP(D24&amp;E24,'Debt details'!D$2:D$31&amp;'Debt details'!C$2:C$31,'Debt details'!E$2:E$31)</f>
        <v>99.034890000000004</v>
      </c>
      <c r="H24" s="201"/>
      <c r="I24" s="206"/>
      <c r="J24" s="153"/>
      <c r="K24" s="82"/>
      <c r="M24" s="258"/>
      <c r="N24" s="259"/>
      <c r="O24" s="308"/>
      <c r="P24" s="308"/>
      <c r="Q24" s="200"/>
      <c r="R24" s="200"/>
      <c r="S24" s="200"/>
    </row>
    <row r="25" spans="1:19" ht="20.25">
      <c r="A25" s="451" t="s">
        <v>275</v>
      </c>
      <c r="B25" s="451"/>
      <c r="C25" s="451"/>
      <c r="D25" s="343">
        <v>2029</v>
      </c>
      <c r="E25" s="335">
        <v>1.2500000000000001E-2</v>
      </c>
      <c r="F25" s="339">
        <v>534</v>
      </c>
      <c r="G25" s="337" cm="1">
        <f t="array" ref="G25">_xlfn.XLOOKUP(D25&amp;E25,'Debt details'!D$2:D$31&amp;'Debt details'!C$2:C$31,'Debt details'!E$2:E$31)</f>
        <v>90.82</v>
      </c>
      <c r="H25" s="201"/>
      <c r="I25" s="206"/>
      <c r="J25" s="153"/>
      <c r="K25" s="82"/>
      <c r="M25" s="258"/>
      <c r="N25" s="259"/>
      <c r="O25" s="308"/>
      <c r="P25" s="308"/>
      <c r="Q25" s="200"/>
      <c r="R25" s="200"/>
      <c r="S25" s="200"/>
    </row>
    <row r="26" spans="1:19" ht="20.25">
      <c r="A26" s="451" t="s">
        <v>276</v>
      </c>
      <c r="B26" s="451"/>
      <c r="C26" s="451"/>
      <c r="D26" s="343">
        <v>2030</v>
      </c>
      <c r="E26" s="335">
        <v>0.03</v>
      </c>
      <c r="F26" s="338">
        <v>1500</v>
      </c>
      <c r="G26" s="337" cm="1">
        <f t="array" ref="G26">_xlfn.XLOOKUP(D26&amp;E26,'Debt details'!D$2:D$31&amp;'Debt details'!C$2:C$31,'Debt details'!E$2:E$31)</f>
        <v>91.932079999999999</v>
      </c>
      <c r="H26" s="201"/>
      <c r="I26" s="206"/>
      <c r="J26" s="153"/>
      <c r="K26" s="82"/>
      <c r="M26" s="258"/>
      <c r="N26" s="259"/>
      <c r="O26" s="308"/>
      <c r="P26" s="308"/>
      <c r="Q26" s="200"/>
      <c r="R26" s="200"/>
      <c r="S26" s="200"/>
    </row>
    <row r="27" spans="1:19" ht="20.25">
      <c r="A27" s="451" t="s">
        <v>277</v>
      </c>
      <c r="B27" s="451"/>
      <c r="C27" s="451"/>
      <c r="D27" s="343">
        <v>2030</v>
      </c>
      <c r="E27" s="335">
        <v>3.5000000000000001E-3</v>
      </c>
      <c r="F27" s="339">
        <v>534</v>
      </c>
      <c r="G27" s="337" cm="1">
        <f t="array" ref="G27">_xlfn.XLOOKUP(D27&amp;E27,'Debt details'!D$2:D$31&amp;'Debt details'!C$2:C$31,'Debt details'!E$2:E$31)</f>
        <v>85.141999999999996</v>
      </c>
      <c r="H27" s="201"/>
      <c r="I27" s="206"/>
      <c r="J27" s="153"/>
      <c r="K27" s="82"/>
      <c r="M27" s="258"/>
      <c r="N27" s="259"/>
      <c r="O27" s="308"/>
      <c r="P27" s="308"/>
      <c r="Q27" s="200"/>
      <c r="R27" s="200"/>
      <c r="S27" s="200"/>
    </row>
    <row r="28" spans="1:19" ht="20.25">
      <c r="A28" s="451" t="s">
        <v>278</v>
      </c>
      <c r="B28" s="451"/>
      <c r="C28" s="451"/>
      <c r="D28" s="343">
        <v>2030</v>
      </c>
      <c r="E28" s="335">
        <v>1.2E-2</v>
      </c>
      <c r="F28" s="338">
        <v>1250</v>
      </c>
      <c r="G28" s="337" cm="1">
        <f t="array" ref="G28">_xlfn.XLOOKUP(D28&amp;E28,'Debt details'!D$2:D$31&amp;'Debt details'!C$2:C$31,'Debt details'!E$2:E$31)</f>
        <v>81.29298</v>
      </c>
      <c r="H28" s="201"/>
      <c r="I28" s="206"/>
      <c r="J28" s="153"/>
      <c r="K28" s="82"/>
      <c r="M28" s="258"/>
      <c r="N28" s="259"/>
      <c r="O28" s="308"/>
      <c r="P28" s="308"/>
      <c r="Q28" s="200"/>
      <c r="R28" s="200"/>
      <c r="S28" s="200"/>
    </row>
    <row r="29" spans="1:19" ht="20.25">
      <c r="A29" s="451" t="s">
        <v>279</v>
      </c>
      <c r="B29" s="451"/>
      <c r="C29" s="451"/>
      <c r="D29" s="343">
        <v>2031</v>
      </c>
      <c r="E29" s="335">
        <v>1.95E-2</v>
      </c>
      <c r="F29" s="338">
        <v>1000</v>
      </c>
      <c r="G29" s="337" cm="1">
        <f t="array" ref="G29">_xlfn.XLOOKUP(D29&amp;E29,'Debt details'!D$2:D$31&amp;'Debt details'!C$2:C$31,'Debt details'!E$2:E$31)</f>
        <v>85.07517</v>
      </c>
      <c r="H29" s="201"/>
      <c r="I29" s="206"/>
      <c r="J29" s="153"/>
      <c r="K29" s="82"/>
      <c r="M29" s="258"/>
      <c r="N29" s="259"/>
      <c r="O29" s="308"/>
      <c r="P29" s="308"/>
      <c r="Q29" s="200"/>
      <c r="R29" s="200"/>
      <c r="S29" s="200"/>
    </row>
    <row r="30" spans="1:19" ht="20.25">
      <c r="A30" s="451" t="s">
        <v>280</v>
      </c>
      <c r="B30" s="451"/>
      <c r="C30" s="451"/>
      <c r="D30" s="343">
        <v>2031</v>
      </c>
      <c r="E30" s="335">
        <v>3.2500000000000001E-2</v>
      </c>
      <c r="F30" s="339">
        <v>695</v>
      </c>
      <c r="G30" s="337" cm="1">
        <f t="array" ref="G30">_xlfn.XLOOKUP(D30&amp;E30,'Debt details'!D$2:D$31&amp;'Debt details'!C$2:C$31,'Debt details'!E$2:E$31)</f>
        <v>100.265</v>
      </c>
      <c r="H30" s="201"/>
      <c r="I30" s="206"/>
      <c r="J30" s="153"/>
      <c r="K30" s="82"/>
      <c r="M30" s="258"/>
      <c r="N30" s="259"/>
      <c r="O30" s="308"/>
      <c r="P30" s="308"/>
      <c r="Q30" s="200"/>
      <c r="R30" s="200"/>
      <c r="S30" s="200"/>
    </row>
    <row r="31" spans="1:19" ht="20.25">
      <c r="A31" s="451" t="s">
        <v>281</v>
      </c>
      <c r="B31" s="451"/>
      <c r="C31" s="451"/>
      <c r="D31" s="343">
        <v>2032</v>
      </c>
      <c r="E31" s="335">
        <v>2.3E-2</v>
      </c>
      <c r="F31" s="339">
        <v>850</v>
      </c>
      <c r="G31" s="337" cm="1">
        <f t="array" ref="G31">_xlfn.XLOOKUP(D31&amp;E31,'Debt details'!D$2:D$31&amp;'Debt details'!C$2:C$31,'Debt details'!E$2:E$31)</f>
        <v>85.762739999999994</v>
      </c>
      <c r="H31" s="201"/>
      <c r="I31" s="206"/>
      <c r="J31" s="153"/>
      <c r="K31" s="82"/>
      <c r="M31" s="258"/>
      <c r="N31" s="259"/>
      <c r="O31" s="308"/>
      <c r="P31" s="308"/>
      <c r="Q31" s="200"/>
      <c r="R31" s="200"/>
      <c r="S31" s="200"/>
    </row>
    <row r="32" spans="1:19" ht="20.25">
      <c r="A32" s="451" t="s">
        <v>282</v>
      </c>
      <c r="B32" s="451"/>
      <c r="C32" s="451"/>
      <c r="D32" s="343">
        <v>2033</v>
      </c>
      <c r="E32" s="335">
        <v>4.0500000000000001E-2</v>
      </c>
      <c r="F32" s="339">
        <v>850</v>
      </c>
      <c r="G32" s="337" cm="1">
        <f t="array" ref="G32">_xlfn.XLOOKUP(D32&amp;E32,'Debt details'!D$2:D$31&amp;'Debt details'!C$2:C$31,'Debt details'!E$2:E$31)</f>
        <v>95.853679999999997</v>
      </c>
      <c r="H32" s="201"/>
      <c r="I32" s="206"/>
      <c r="J32" s="153"/>
      <c r="K32" s="82"/>
      <c r="M32" s="258"/>
      <c r="N32" s="259"/>
      <c r="O32" s="308"/>
      <c r="P32" s="308"/>
      <c r="Q32" s="200"/>
      <c r="R32" s="200"/>
      <c r="S32" s="200"/>
    </row>
    <row r="33" spans="1:19" ht="20.25">
      <c r="A33" s="451" t="s">
        <v>283</v>
      </c>
      <c r="B33" s="451"/>
      <c r="C33" s="451"/>
      <c r="D33" s="343">
        <v>2034</v>
      </c>
      <c r="E33" s="335">
        <v>4.5499999999999999E-2</v>
      </c>
      <c r="F33" s="339">
        <v>750</v>
      </c>
      <c r="G33" s="337" cm="1">
        <f t="array" ref="G33">_xlfn.XLOOKUP(D33&amp;E33,'Debt details'!D$2:D$31&amp;'Debt details'!C$2:C$31,'Debt details'!E$2:E$31)</f>
        <v>98.031790000000001</v>
      </c>
      <c r="H33" s="201"/>
      <c r="I33" s="206"/>
      <c r="J33" s="153"/>
      <c r="K33" s="82"/>
      <c r="M33" s="258"/>
      <c r="N33" s="259"/>
      <c r="O33" s="308"/>
      <c r="P33" s="308"/>
      <c r="Q33" s="200"/>
      <c r="R33" s="200"/>
      <c r="S33" s="200"/>
    </row>
    <row r="34" spans="1:19" ht="20.25">
      <c r="A34" s="451" t="s">
        <v>284</v>
      </c>
      <c r="B34" s="451"/>
      <c r="C34" s="451"/>
      <c r="D34" s="343">
        <v>2034</v>
      </c>
      <c r="E34" s="335">
        <v>3.2000000000000001E-2</v>
      </c>
      <c r="F34" s="339">
        <v>909</v>
      </c>
      <c r="G34" s="337" cm="1">
        <f t="array" ref="G34">_xlfn.XLOOKUP(D34&amp;E34,'Debt details'!D$2:D$31&amp;'Debt details'!C$2:C$31,'Debt details'!E$2:E$31)</f>
        <v>98.707999999999998</v>
      </c>
      <c r="H34" s="201"/>
      <c r="I34" s="206"/>
      <c r="J34" s="153"/>
      <c r="K34" s="82"/>
      <c r="M34" s="258"/>
      <c r="N34" s="259"/>
      <c r="O34" s="308"/>
      <c r="P34" s="308"/>
      <c r="Q34" s="200"/>
      <c r="R34" s="200"/>
      <c r="S34" s="200"/>
    </row>
    <row r="35" spans="1:19" ht="20.25">
      <c r="A35" s="451" t="s">
        <v>285</v>
      </c>
      <c r="B35" s="451"/>
      <c r="C35" s="451"/>
      <c r="D35" s="343">
        <v>2037</v>
      </c>
      <c r="E35" s="335">
        <v>5.5500000000000001E-2</v>
      </c>
      <c r="F35" s="339">
        <v>716</v>
      </c>
      <c r="G35" s="337" cm="1">
        <f t="array" ref="G35">_xlfn.XLOOKUP(D35&amp;E35,'Debt details'!D$2:D$31&amp;'Debt details'!C$2:C$31,'Debt details'!E$2:E$31)</f>
        <v>105.6341</v>
      </c>
      <c r="H35" s="201"/>
      <c r="I35" s="206"/>
      <c r="J35" s="153"/>
      <c r="K35" s="82"/>
      <c r="M35" s="258"/>
      <c r="N35" s="259"/>
      <c r="O35" s="308"/>
      <c r="P35" s="308"/>
      <c r="Q35" s="200"/>
      <c r="R35" s="200"/>
      <c r="S35" s="200"/>
    </row>
    <row r="36" spans="1:19" ht="20.25">
      <c r="A36" s="451" t="s">
        <v>286</v>
      </c>
      <c r="B36" s="451"/>
      <c r="C36" s="451"/>
      <c r="D36" s="343">
        <v>2038</v>
      </c>
      <c r="E36" s="335">
        <v>1.8800000000000001E-2</v>
      </c>
      <c r="F36" s="339">
        <v>534</v>
      </c>
      <c r="G36" s="337" cm="1">
        <f t="array" ref="G36">_xlfn.XLOOKUP(D36&amp;E36,'Debt details'!D$2:D$31&amp;'Debt details'!C$2:C$31,'Debt details'!E$2:E$31)</f>
        <v>83.763999999999996</v>
      </c>
      <c r="H36" s="201"/>
      <c r="I36" s="206"/>
      <c r="J36" s="153"/>
      <c r="K36" s="82"/>
      <c r="M36" s="258"/>
      <c r="N36" s="259"/>
      <c r="O36" s="308"/>
      <c r="P36" s="308"/>
      <c r="Q36" s="200"/>
      <c r="R36" s="200"/>
      <c r="S36" s="200"/>
    </row>
    <row r="37" spans="1:19">
      <c r="A37" s="456" t="s">
        <v>287</v>
      </c>
      <c r="B37" s="456"/>
      <c r="C37" s="456"/>
      <c r="D37" s="343">
        <v>2040</v>
      </c>
      <c r="E37" s="335">
        <v>3.5499999999999997E-2</v>
      </c>
      <c r="F37" s="339">
        <v>516</v>
      </c>
      <c r="G37" s="337" cm="1">
        <f t="array" ref="G37">_xlfn.XLOOKUP(D37&amp;E37,'Debt details'!D$2:D$31&amp;'Debt details'!C$2:C$31,'Debt details'!E$2:E$31)</f>
        <v>89.990499999999997</v>
      </c>
      <c r="H37" s="201"/>
      <c r="I37" s="206"/>
      <c r="J37" s="153"/>
      <c r="K37" s="82"/>
      <c r="M37" s="258"/>
      <c r="N37" s="259"/>
      <c r="O37" s="308"/>
    </row>
    <row r="38" spans="1:19">
      <c r="A38" s="451" t="s">
        <v>288</v>
      </c>
      <c r="B38" s="451"/>
      <c r="C38" s="451"/>
      <c r="D38" s="344">
        <v>2041</v>
      </c>
      <c r="E38" s="335">
        <v>8.9999999999999993E-3</v>
      </c>
      <c r="F38" s="339">
        <v>641</v>
      </c>
      <c r="G38" s="337" cm="1">
        <f t="array" ref="G38">_xlfn.XLOOKUP(D38&amp;E38,'Debt details'!D$2:D$31&amp;'Debt details'!C$2:C$31,'Debt details'!E$2:E$31)</f>
        <v>66.927000000000007</v>
      </c>
      <c r="H38" s="201"/>
      <c r="I38" s="206"/>
      <c r="J38" s="153"/>
      <c r="K38" s="82"/>
      <c r="M38" s="258"/>
      <c r="N38" s="259"/>
      <c r="O38" s="308"/>
    </row>
    <row r="39" spans="1:19">
      <c r="A39" s="451" t="s">
        <v>289</v>
      </c>
      <c r="B39" s="451"/>
      <c r="C39" s="451"/>
      <c r="F39" s="345">
        <v>5550</v>
      </c>
      <c r="G39">
        <v>100</v>
      </c>
      <c r="H39" s="201"/>
      <c r="I39" s="206"/>
      <c r="J39" s="350"/>
      <c r="K39" s="82" t="s">
        <v>22</v>
      </c>
      <c r="N39" s="260"/>
    </row>
    <row r="40" spans="1:19" ht="21.75" thickBot="1">
      <c r="A40" s="451" t="s">
        <v>290</v>
      </c>
      <c r="B40" s="451"/>
      <c r="C40" s="451"/>
      <c r="D40" s="349" t="s">
        <v>22</v>
      </c>
      <c r="F40" s="346">
        <v>-3838</v>
      </c>
      <c r="N40" s="260"/>
    </row>
    <row r="41" spans="1:19" ht="21.75" thickBot="1">
      <c r="A41" s="451" t="s">
        <v>291</v>
      </c>
      <c r="B41" s="451"/>
      <c r="C41" s="451"/>
      <c r="D41" s="204"/>
      <c r="E41" s="234" t="s">
        <v>22</v>
      </c>
      <c r="F41" s="237">
        <f>SUM(F7:F40)</f>
        <v>25269</v>
      </c>
      <c r="G41" s="235" t="s">
        <v>22</v>
      </c>
      <c r="H41" s="237">
        <f>SUM(H7:H40)</f>
        <v>0</v>
      </c>
      <c r="I41" s="431">
        <f>SUM(I7:I40)</f>
        <v>0</v>
      </c>
      <c r="J41" s="236"/>
      <c r="K41" s="431">
        <f>SUM(K7:K40)</f>
        <v>0</v>
      </c>
      <c r="L41" s="98" t="s">
        <v>292</v>
      </c>
    </row>
    <row r="42" spans="1:19" ht="24" customHeight="1"/>
    <row r="43" spans="1:19" ht="21.75" thickBot="1"/>
    <row r="44" spans="1:19" ht="21.75" thickBot="1">
      <c r="A44" s="16" t="s">
        <v>293</v>
      </c>
      <c r="D44" s="214" t="s">
        <v>294</v>
      </c>
      <c r="E44" s="314" t="s">
        <v>295</v>
      </c>
      <c r="F44" s="215" t="s">
        <v>296</v>
      </c>
      <c r="G44" s="14" t="s">
        <v>253</v>
      </c>
      <c r="H44" s="97" t="s">
        <v>254</v>
      </c>
      <c r="I44" s="14" t="s">
        <v>255</v>
      </c>
      <c r="J44" s="18" t="s">
        <v>256</v>
      </c>
      <c r="K44" s="14" t="s">
        <v>257</v>
      </c>
      <c r="L44" s="98"/>
      <c r="M44" s="77"/>
    </row>
    <row r="45" spans="1:19">
      <c r="A45" s="216" t="s">
        <v>297</v>
      </c>
      <c r="B45" s="217"/>
      <c r="C45" s="217"/>
      <c r="D45" s="279">
        <v>2024</v>
      </c>
      <c r="E45" s="313">
        <v>3.7</v>
      </c>
      <c r="F45" s="213">
        <v>3327</v>
      </c>
      <c r="G45" s="218">
        <v>100</v>
      </c>
      <c r="H45" s="219"/>
      <c r="I45" s="220"/>
      <c r="J45" s="313">
        <v>3.7</v>
      </c>
      <c r="K45" s="221"/>
      <c r="L45" s="58" t="s">
        <v>22</v>
      </c>
      <c r="M45" s="77"/>
    </row>
    <row r="46" spans="1:19">
      <c r="A46" s="222" t="s">
        <v>298</v>
      </c>
      <c r="D46" s="77">
        <v>2024</v>
      </c>
      <c r="E46" s="313">
        <v>3.7</v>
      </c>
      <c r="F46" s="223">
        <v>26</v>
      </c>
      <c r="G46" s="58">
        <v>100</v>
      </c>
      <c r="H46" s="224"/>
      <c r="I46" s="225"/>
      <c r="J46" s="313">
        <v>3.7</v>
      </c>
      <c r="K46" s="226"/>
      <c r="L46" s="58"/>
      <c r="M46" s="77"/>
    </row>
    <row r="47" spans="1:19" ht="21.75" thickBot="1">
      <c r="A47" s="227" t="s">
        <v>299</v>
      </c>
      <c r="B47" s="228"/>
      <c r="C47" s="228"/>
      <c r="D47" s="78">
        <v>2024</v>
      </c>
      <c r="E47" s="313">
        <v>3.7</v>
      </c>
      <c r="F47" s="79">
        <v>3838</v>
      </c>
      <c r="G47" s="351">
        <v>100</v>
      </c>
      <c r="H47" s="224"/>
      <c r="I47" s="225"/>
      <c r="J47" s="313">
        <v>3.7</v>
      </c>
      <c r="K47" s="226"/>
      <c r="L47" s="98"/>
      <c r="M47" s="77"/>
    </row>
    <row r="48" spans="1:19" ht="21.75" thickBot="1">
      <c r="A48" s="229" t="s">
        <v>300</v>
      </c>
      <c r="B48" s="204"/>
      <c r="C48" s="204"/>
      <c r="D48" s="230" t="s">
        <v>22</v>
      </c>
      <c r="E48" s="230"/>
      <c r="F48" s="238">
        <f>SUM(F45:F47)</f>
        <v>7191</v>
      </c>
      <c r="G48" s="231"/>
      <c r="H48" s="238">
        <f>SUM(H45:H47)</f>
        <v>0</v>
      </c>
      <c r="I48" s="232">
        <f>SUM(I45:I47)</f>
        <v>0</v>
      </c>
      <c r="J48" s="232" t="s">
        <v>22</v>
      </c>
      <c r="K48" s="233">
        <f>SUM(K45:K47)</f>
        <v>0</v>
      </c>
      <c r="L48" s="98" t="s">
        <v>301</v>
      </c>
      <c r="M48" s="77"/>
    </row>
    <row r="49" spans="1:13">
      <c r="A49" s="98"/>
      <c r="D49" s="77" t="s">
        <v>22</v>
      </c>
      <c r="E49" s="77"/>
      <c r="F49" s="98"/>
      <c r="G49" s="98"/>
      <c r="H49" s="15"/>
      <c r="I49" s="98"/>
      <c r="J49" s="98"/>
      <c r="K49" s="98"/>
      <c r="L49" s="98"/>
      <c r="M49" s="98"/>
    </row>
    <row r="50" spans="1:13">
      <c r="A50" s="98"/>
      <c r="B50" s="98"/>
      <c r="C50" s="98"/>
      <c r="D50" s="98"/>
      <c r="E50" s="98"/>
      <c r="F50" s="311" t="s">
        <v>22</v>
      </c>
      <c r="G50" s="311" t="s">
        <v>22</v>
      </c>
      <c r="H50" s="98"/>
      <c r="I50" s="98"/>
      <c r="J50" s="98" t="s">
        <v>22</v>
      </c>
    </row>
    <row r="51" spans="1:13" ht="21.75" thickBot="1">
      <c r="A51" s="98" t="s">
        <v>302</v>
      </c>
      <c r="B51" s="98"/>
      <c r="C51" s="98"/>
      <c r="D51" s="59"/>
      <c r="E51" s="98"/>
      <c r="F51" s="311" t="s">
        <v>22</v>
      </c>
      <c r="G51" s="98" t="s">
        <v>22</v>
      </c>
      <c r="H51" s="98"/>
      <c r="I51" s="98"/>
      <c r="J51" s="98"/>
    </row>
    <row r="52" spans="1:13">
      <c r="A52" s="17"/>
      <c r="B52" s="18" t="s">
        <v>303</v>
      </c>
      <c r="C52" s="18" t="s">
        <v>255</v>
      </c>
      <c r="D52" s="18" t="s">
        <v>256</v>
      </c>
      <c r="E52" s="19" t="s">
        <v>304</v>
      </c>
      <c r="F52" s="98"/>
      <c r="G52" s="98"/>
      <c r="H52" s="98"/>
      <c r="I52" s="98"/>
      <c r="J52" s="98"/>
    </row>
    <row r="53" spans="1:13">
      <c r="A53" s="20" t="s">
        <v>305</v>
      </c>
      <c r="B53" s="207">
        <f>H41</f>
        <v>0</v>
      </c>
      <c r="C53" s="208" t="e">
        <f>B53/B$55</f>
        <v>#DIV/0!</v>
      </c>
      <c r="D53" s="209">
        <f>K41</f>
        <v>0</v>
      </c>
      <c r="E53" s="21" t="e">
        <f>D53*C53</f>
        <v>#DIV/0!</v>
      </c>
      <c r="F53" s="98"/>
      <c r="G53" s="98"/>
      <c r="H53" s="98"/>
      <c r="I53" s="98"/>
      <c r="J53" s="98"/>
    </row>
    <row r="54" spans="1:13" ht="21.75" thickBot="1">
      <c r="A54" s="20" t="s">
        <v>306</v>
      </c>
      <c r="B54" s="241">
        <f>H48</f>
        <v>0</v>
      </c>
      <c r="C54" s="208" t="e">
        <f>B54/B$55</f>
        <v>#DIV/0!</v>
      </c>
      <c r="D54" s="208">
        <f>K48</f>
        <v>0</v>
      </c>
      <c r="E54" s="21" t="e">
        <f>D54*C54</f>
        <v>#DIV/0!</v>
      </c>
      <c r="F54" s="98"/>
      <c r="G54" s="98"/>
      <c r="H54" s="98"/>
      <c r="I54" s="98"/>
      <c r="J54" s="98"/>
    </row>
    <row r="55" spans="1:13" ht="21.75" thickBot="1">
      <c r="A55" s="242" t="s">
        <v>307</v>
      </c>
      <c r="B55" s="243">
        <f>SUM(B53:B54)</f>
        <v>0</v>
      </c>
      <c r="C55" s="244" t="e">
        <f>SUM(C53:C54)</f>
        <v>#DIV/0!</v>
      </c>
      <c r="D55" s="204"/>
      <c r="E55" s="245" t="e">
        <f>SUM(E53:E54)</f>
        <v>#DIV/0!</v>
      </c>
      <c r="F55" s="204" t="s">
        <v>308</v>
      </c>
      <c r="G55" s="205"/>
    </row>
  </sheetData>
  <mergeCells count="38">
    <mergeCell ref="A41:C41"/>
    <mergeCell ref="A38:C38"/>
    <mergeCell ref="A36:C36"/>
    <mergeCell ref="A37:C37"/>
    <mergeCell ref="A32:C32"/>
    <mergeCell ref="A35:C35"/>
    <mergeCell ref="A39:C39"/>
    <mergeCell ref="A40:C40"/>
    <mergeCell ref="A33:C33"/>
    <mergeCell ref="A34:C34"/>
    <mergeCell ref="A30:C30"/>
    <mergeCell ref="A31:C31"/>
    <mergeCell ref="A28:C28"/>
    <mergeCell ref="A29:C29"/>
    <mergeCell ref="A26:C26"/>
    <mergeCell ref="A27:C27"/>
    <mergeCell ref="A25:C25"/>
    <mergeCell ref="A20:C20"/>
    <mergeCell ref="A21:C21"/>
    <mergeCell ref="A18:C18"/>
    <mergeCell ref="A19:C19"/>
    <mergeCell ref="A23:C23"/>
    <mergeCell ref="A22:C22"/>
    <mergeCell ref="A24:C24"/>
    <mergeCell ref="A1:D1"/>
    <mergeCell ref="A11:C11"/>
    <mergeCell ref="A12:C12"/>
    <mergeCell ref="A9:C9"/>
    <mergeCell ref="A10:C10"/>
    <mergeCell ref="A7:C7"/>
    <mergeCell ref="A8:C8"/>
    <mergeCell ref="A16:C16"/>
    <mergeCell ref="A17:C17"/>
    <mergeCell ref="A13:C13"/>
    <mergeCell ref="A15:C15"/>
    <mergeCell ref="A5:C5"/>
    <mergeCell ref="A6:C6"/>
    <mergeCell ref="A14:C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EE7D-0616-44F9-8D2A-6F7B9F0A3C68}">
  <sheetPr codeName="Sheet17"/>
  <dimension ref="A1:R2885"/>
  <sheetViews>
    <sheetView zoomScale="82" zoomScaleNormal="82" workbookViewId="0">
      <selection activeCell="E27" sqref="E27"/>
    </sheetView>
  </sheetViews>
  <sheetFormatPr defaultColWidth="8.85546875" defaultRowHeight="15"/>
  <cols>
    <col min="1" max="1" width="36" customWidth="1"/>
    <col min="2" max="5" width="17" customWidth="1"/>
    <col min="6" max="6" width="17" style="391" customWidth="1"/>
    <col min="7" max="7" width="17" customWidth="1"/>
    <col min="9" max="9" width="17.28515625" customWidth="1"/>
    <col min="10" max="10" width="27.7109375" customWidth="1"/>
    <col min="11" max="11" width="21" bestFit="1" customWidth="1"/>
    <col min="13" max="13" width="18.7109375" customWidth="1"/>
    <col min="14" max="14" width="14.28515625" customWidth="1"/>
    <col min="21" max="21" width="12" customWidth="1"/>
    <col min="22" max="22" width="18" customWidth="1"/>
    <col min="23" max="23" width="37" customWidth="1"/>
    <col min="24" max="25" width="15" customWidth="1"/>
    <col min="26" max="28" width="12" customWidth="1"/>
  </cols>
  <sheetData>
    <row r="1" spans="1:18" ht="16.5" thickBot="1">
      <c r="A1" s="151" t="s">
        <v>309</v>
      </c>
      <c r="B1" s="151" t="s">
        <v>310</v>
      </c>
      <c r="C1" s="151" t="s">
        <v>311</v>
      </c>
      <c r="D1" s="151" t="s">
        <v>312</v>
      </c>
      <c r="E1" s="151" t="s">
        <v>313</v>
      </c>
      <c r="F1" s="389" t="s">
        <v>314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15.75" thickBot="1">
      <c r="A2" s="202" t="s">
        <v>315</v>
      </c>
      <c r="B2" s="203" t="s">
        <v>316</v>
      </c>
      <c r="C2" s="335">
        <v>5.0000000000000001E-3</v>
      </c>
      <c r="D2" s="343">
        <v>2024</v>
      </c>
      <c r="E2" s="387">
        <v>99.981999999999999</v>
      </c>
      <c r="F2" s="390">
        <v>3.7653150000000002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8" ht="15.75" thickBot="1">
      <c r="A3" s="334" t="s">
        <v>315</v>
      </c>
      <c r="B3" s="200" t="s">
        <v>316</v>
      </c>
      <c r="C3" s="335">
        <v>6.2500000000000003E-3</v>
      </c>
      <c r="D3" s="343">
        <v>2024</v>
      </c>
      <c r="E3" s="258">
        <v>99.980999999999995</v>
      </c>
      <c r="F3" s="390">
        <v>3.7554419999999999</v>
      </c>
      <c r="H3" s="457" t="s">
        <v>317</v>
      </c>
      <c r="I3" s="458"/>
      <c r="J3" s="459"/>
      <c r="K3" s="112"/>
      <c r="L3" s="112"/>
      <c r="M3" s="112"/>
      <c r="N3" s="112"/>
      <c r="O3" s="112"/>
      <c r="P3" s="112"/>
      <c r="Q3" s="112"/>
      <c r="R3" s="112"/>
    </row>
    <row r="4" spans="1:18">
      <c r="A4" s="334" t="s">
        <v>315</v>
      </c>
      <c r="B4" s="200" t="s">
        <v>316</v>
      </c>
      <c r="C4" s="335">
        <v>5.4999999999999997E-3</v>
      </c>
      <c r="D4" s="343">
        <v>2025</v>
      </c>
      <c r="E4" s="258">
        <v>94.306100000000001</v>
      </c>
      <c r="F4" s="390">
        <v>5.0364180000000003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 spans="1:18">
      <c r="A5" s="334" t="s">
        <v>315</v>
      </c>
      <c r="B5" s="200" t="s">
        <v>316</v>
      </c>
      <c r="C5" s="335">
        <v>4.1000000000000002E-2</v>
      </c>
      <c r="D5" s="343">
        <v>2026</v>
      </c>
      <c r="E5" s="258">
        <v>99.775890000000004</v>
      </c>
      <c r="F5" s="390">
        <v>4.9179970000000006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</row>
    <row r="6" spans="1:18">
      <c r="A6" s="334" t="s">
        <v>315</v>
      </c>
      <c r="B6" s="200" t="s">
        <v>316</v>
      </c>
      <c r="C6" s="335">
        <v>2.7E-2</v>
      </c>
      <c r="D6" s="343">
        <v>2026</v>
      </c>
      <c r="E6" s="258">
        <v>96.588099999999997</v>
      </c>
      <c r="F6" s="390">
        <v>4.9618599999999997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</row>
    <row r="7" spans="1:18">
      <c r="A7" s="334" t="s">
        <v>315</v>
      </c>
      <c r="B7" s="200" t="s">
        <v>316</v>
      </c>
      <c r="C7" s="335">
        <v>0.01</v>
      </c>
      <c r="D7" s="343">
        <v>2026</v>
      </c>
      <c r="E7" s="258">
        <v>93.43159</v>
      </c>
      <c r="F7" s="390">
        <v>4.830463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</row>
    <row r="8" spans="1:18">
      <c r="A8" s="334" t="s">
        <v>315</v>
      </c>
      <c r="B8" s="200" t="s">
        <v>316</v>
      </c>
      <c r="C8" s="335">
        <v>3.2500000000000001E-2</v>
      </c>
      <c r="D8" s="343">
        <v>2026</v>
      </c>
      <c r="E8" s="258">
        <v>99.977000000000004</v>
      </c>
      <c r="F8" s="390">
        <v>3.2595449999999997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</row>
    <row r="9" spans="1:18">
      <c r="A9" s="334" t="s">
        <v>315</v>
      </c>
      <c r="B9" s="200" t="s">
        <v>316</v>
      </c>
      <c r="C9" s="335">
        <v>2.4500000000000001E-2</v>
      </c>
      <c r="D9" s="343">
        <v>2026</v>
      </c>
      <c r="E9" s="258">
        <v>94.688900000000004</v>
      </c>
      <c r="F9" s="390">
        <v>4.8788869999999998</v>
      </c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</row>
    <row r="10" spans="1:18">
      <c r="A10" s="334" t="s">
        <v>315</v>
      </c>
      <c r="B10" s="200" t="s">
        <v>316</v>
      </c>
      <c r="C10" s="335">
        <v>1.9E-2</v>
      </c>
      <c r="D10" s="343">
        <v>2027</v>
      </c>
      <c r="E10" s="258">
        <v>93.074650000000005</v>
      </c>
      <c r="F10" s="390">
        <v>4.7809619999999997</v>
      </c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</row>
    <row r="11" spans="1:18">
      <c r="A11" s="334" t="s">
        <v>315</v>
      </c>
      <c r="B11" s="200" t="s">
        <v>316</v>
      </c>
      <c r="C11" s="335">
        <v>2.8000000000000001E-2</v>
      </c>
      <c r="D11" s="343">
        <v>2027</v>
      </c>
      <c r="E11" s="258">
        <v>95.03116</v>
      </c>
      <c r="F11" s="390">
        <v>4.7585470000000001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</row>
    <row r="12" spans="1:18">
      <c r="A12" s="334" t="s">
        <v>315</v>
      </c>
      <c r="B12" s="200" t="s">
        <v>316</v>
      </c>
      <c r="C12" s="335">
        <v>4.8750000000000002E-2</v>
      </c>
      <c r="D12" s="343">
        <v>2027</v>
      </c>
      <c r="E12" s="388">
        <v>104.566</v>
      </c>
      <c r="F12" s="390">
        <v>3.1748789999999998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</row>
    <row r="13" spans="1:18">
      <c r="A13" s="334" t="s">
        <v>315</v>
      </c>
      <c r="B13" s="200" t="s">
        <v>316</v>
      </c>
      <c r="C13" s="335">
        <v>2.8500000000000001E-2</v>
      </c>
      <c r="D13" s="343">
        <v>2027</v>
      </c>
      <c r="E13" s="258">
        <v>94.453000000000003</v>
      </c>
      <c r="F13" s="390">
        <v>4.7892960000000002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</row>
    <row r="14" spans="1:18">
      <c r="A14" s="334" t="s">
        <v>315</v>
      </c>
      <c r="B14" s="200" t="s">
        <v>316</v>
      </c>
      <c r="C14" s="335">
        <v>3.95E-2</v>
      </c>
      <c r="D14" s="343">
        <v>2028</v>
      </c>
      <c r="E14" s="258">
        <v>97.895870000000002</v>
      </c>
      <c r="F14" s="390">
        <v>4.5950530000000001</v>
      </c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</row>
    <row r="15" spans="1:18">
      <c r="A15" s="334" t="s">
        <v>315</v>
      </c>
      <c r="B15" s="200" t="s">
        <v>316</v>
      </c>
      <c r="C15" s="335">
        <v>3.15E-2</v>
      </c>
      <c r="D15" s="343">
        <v>2028</v>
      </c>
      <c r="E15" s="258">
        <v>99.852999999999994</v>
      </c>
      <c r="F15" s="390">
        <v>3.1894270000000002</v>
      </c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</row>
    <row r="16" spans="1:18">
      <c r="A16" s="334" t="s">
        <v>315</v>
      </c>
      <c r="B16" s="200" t="s">
        <v>316</v>
      </c>
      <c r="C16" s="335">
        <v>1.2E-2</v>
      </c>
      <c r="D16" s="343">
        <v>2028</v>
      </c>
      <c r="E16" s="258">
        <v>92.313000000000002</v>
      </c>
      <c r="F16" s="390">
        <v>3.1255529999999996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</row>
    <row r="17" spans="1:18">
      <c r="A17" s="334" t="s">
        <v>315</v>
      </c>
      <c r="B17" s="200" t="s">
        <v>316</v>
      </c>
      <c r="C17" s="335">
        <v>4.3499999999999997E-2</v>
      </c>
      <c r="D17" s="343">
        <v>2029</v>
      </c>
      <c r="E17" s="258">
        <v>99.034890000000004</v>
      </c>
      <c r="F17" s="390">
        <v>4.5853299999999999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</row>
    <row r="18" spans="1:18">
      <c r="A18" s="334" t="s">
        <v>315</v>
      </c>
      <c r="B18" s="200" t="s">
        <v>316</v>
      </c>
      <c r="C18" s="335">
        <v>1.2500000000000001E-2</v>
      </c>
      <c r="D18" s="343">
        <v>2029</v>
      </c>
      <c r="E18" s="258">
        <v>90.82</v>
      </c>
      <c r="F18" s="390">
        <v>3.1523309999999998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</row>
    <row r="19" spans="1:18">
      <c r="A19" s="334" t="s">
        <v>315</v>
      </c>
      <c r="B19" s="200" t="s">
        <v>316</v>
      </c>
      <c r="C19" s="335">
        <v>0.03</v>
      </c>
      <c r="D19" s="343">
        <v>2030</v>
      </c>
      <c r="E19" s="258">
        <v>91.932079999999999</v>
      </c>
      <c r="F19" s="390">
        <v>4.6168779999999998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</row>
    <row r="20" spans="1:18">
      <c r="A20" s="334" t="s">
        <v>315</v>
      </c>
      <c r="B20" s="200" t="s">
        <v>316</v>
      </c>
      <c r="C20" s="335">
        <v>3.5000000000000001E-3</v>
      </c>
      <c r="D20" s="343">
        <v>2030</v>
      </c>
      <c r="E20" s="258">
        <v>85.141999999999996</v>
      </c>
      <c r="F20" s="390">
        <v>3.1769560000000001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</row>
    <row r="21" spans="1:18">
      <c r="A21" s="334" t="s">
        <v>315</v>
      </c>
      <c r="B21" s="200" t="s">
        <v>316</v>
      </c>
      <c r="C21" s="335">
        <v>1.2E-2</v>
      </c>
      <c r="D21" s="343">
        <v>2030</v>
      </c>
      <c r="E21" s="258">
        <v>81.29298</v>
      </c>
      <c r="F21" s="390">
        <v>4.6458170000000001</v>
      </c>
      <c r="J21" s="141"/>
    </row>
    <row r="22" spans="1:18">
      <c r="A22" s="334" t="s">
        <v>315</v>
      </c>
      <c r="B22" s="200" t="s">
        <v>316</v>
      </c>
      <c r="C22" s="335">
        <v>1.95E-2</v>
      </c>
      <c r="D22" s="343">
        <v>2031</v>
      </c>
      <c r="E22" s="258">
        <v>85.07517</v>
      </c>
      <c r="F22" s="390">
        <v>4.5198520000000002</v>
      </c>
      <c r="J22" s="141"/>
    </row>
    <row r="23" spans="1:18">
      <c r="A23" s="334" t="s">
        <v>315</v>
      </c>
      <c r="B23" s="200" t="s">
        <v>316</v>
      </c>
      <c r="C23" s="335">
        <v>3.2500000000000001E-2</v>
      </c>
      <c r="D23" s="343">
        <v>2031</v>
      </c>
      <c r="E23" s="258">
        <v>100.265</v>
      </c>
      <c r="F23" s="390">
        <v>3.2069519999999998</v>
      </c>
      <c r="J23" s="141"/>
    </row>
    <row r="24" spans="1:18">
      <c r="A24" s="334" t="s">
        <v>315</v>
      </c>
      <c r="B24" s="200" t="s">
        <v>316</v>
      </c>
      <c r="C24" s="335">
        <v>2.3E-2</v>
      </c>
      <c r="D24" s="343">
        <v>2032</v>
      </c>
      <c r="E24" s="258">
        <v>85.762739999999994</v>
      </c>
      <c r="F24" s="390">
        <v>4.5398639999999997</v>
      </c>
      <c r="J24" s="141"/>
    </row>
    <row r="25" spans="1:18">
      <c r="A25" s="334" t="s">
        <v>315</v>
      </c>
      <c r="B25" s="200" t="s">
        <v>316</v>
      </c>
      <c r="C25" s="335">
        <v>4.0500000000000001E-2</v>
      </c>
      <c r="D25" s="343">
        <v>2033</v>
      </c>
      <c r="E25" s="258">
        <v>95.853679999999997</v>
      </c>
      <c r="F25" s="390">
        <v>4.6415619999999995</v>
      </c>
    </row>
    <row r="26" spans="1:18">
      <c r="A26" s="334" t="s">
        <v>315</v>
      </c>
      <c r="B26" s="200" t="s">
        <v>316</v>
      </c>
      <c r="C26" s="335">
        <v>4.5499999999999999E-2</v>
      </c>
      <c r="D26" s="343">
        <v>2034</v>
      </c>
      <c r="E26" s="258">
        <v>98.031790000000001</v>
      </c>
      <c r="F26" s="390">
        <v>4.8083859999999996</v>
      </c>
    </row>
    <row r="27" spans="1:18">
      <c r="A27" s="334" t="s">
        <v>315</v>
      </c>
      <c r="B27" s="200" t="s">
        <v>316</v>
      </c>
      <c r="C27" s="335">
        <v>3.2000000000000001E-2</v>
      </c>
      <c r="D27" s="343">
        <v>2034</v>
      </c>
      <c r="E27" s="258">
        <v>98.707999999999998</v>
      </c>
      <c r="F27" s="390">
        <v>3.3556250000000003</v>
      </c>
      <c r="M27" s="152"/>
      <c r="N27" s="152"/>
    </row>
    <row r="28" spans="1:18">
      <c r="A28" s="334" t="s">
        <v>315</v>
      </c>
      <c r="B28" s="200" t="s">
        <v>316</v>
      </c>
      <c r="C28" s="335">
        <v>5.5500000000000001E-2</v>
      </c>
      <c r="D28" s="343">
        <v>2037</v>
      </c>
      <c r="E28" s="258">
        <v>105.6341</v>
      </c>
      <c r="F28" s="390">
        <v>4.9456740000000003</v>
      </c>
      <c r="M28" s="152"/>
      <c r="N28" s="152"/>
    </row>
    <row r="29" spans="1:18">
      <c r="A29" s="334" t="s">
        <v>315</v>
      </c>
      <c r="B29" s="200" t="s">
        <v>316</v>
      </c>
      <c r="C29" s="335">
        <v>1.8800000000000001E-2</v>
      </c>
      <c r="D29" s="343">
        <v>2038</v>
      </c>
      <c r="E29" s="258">
        <v>83.763999999999996</v>
      </c>
      <c r="F29" s="390">
        <v>3.3161459999999998</v>
      </c>
      <c r="M29" s="152"/>
      <c r="N29" s="152"/>
    </row>
    <row r="30" spans="1:18">
      <c r="A30" s="334" t="s">
        <v>315</v>
      </c>
      <c r="B30" s="200" t="s">
        <v>316</v>
      </c>
      <c r="C30" s="335">
        <v>3.5499999999999997E-2</v>
      </c>
      <c r="D30" s="343">
        <v>2040</v>
      </c>
      <c r="E30" s="258">
        <v>89.990499999999997</v>
      </c>
      <c r="F30" s="390">
        <v>4.4501720000000002</v>
      </c>
      <c r="M30" s="152"/>
      <c r="N30" s="152"/>
    </row>
    <row r="31" spans="1:18">
      <c r="A31" s="334" t="s">
        <v>315</v>
      </c>
      <c r="B31" s="200" t="s">
        <v>316</v>
      </c>
      <c r="C31" s="335">
        <v>8.9999999999999993E-3</v>
      </c>
      <c r="D31" s="344">
        <v>2041</v>
      </c>
      <c r="E31" s="258">
        <v>66.927000000000007</v>
      </c>
      <c r="F31" s="390">
        <v>3.4698120000000001</v>
      </c>
      <c r="M31" s="152"/>
      <c r="N31" s="152"/>
    </row>
    <row r="32" spans="1:18">
      <c r="A32" s="31"/>
      <c r="B32" s="31"/>
      <c r="C32" s="31"/>
      <c r="D32" s="31"/>
      <c r="M32" s="152"/>
      <c r="N32" s="152"/>
    </row>
    <row r="33" spans="1:14">
      <c r="A33" s="31"/>
      <c r="B33" s="31"/>
      <c r="C33" s="347"/>
      <c r="D33" s="31"/>
      <c r="M33" s="152"/>
      <c r="N33" s="152"/>
    </row>
    <row r="34" spans="1:14">
      <c r="A34" s="31"/>
      <c r="B34" s="31"/>
      <c r="C34" s="31"/>
      <c r="D34" s="31"/>
      <c r="M34" s="152"/>
      <c r="N34" s="152"/>
    </row>
    <row r="35" spans="1:14">
      <c r="A35" s="31"/>
      <c r="B35" s="31"/>
      <c r="C35" s="348"/>
      <c r="D35" s="31"/>
      <c r="M35" s="152"/>
      <c r="N35" s="152"/>
    </row>
    <row r="36" spans="1:14">
      <c r="A36" s="31"/>
      <c r="B36" s="31"/>
      <c r="C36" s="31"/>
      <c r="D36" s="31"/>
      <c r="M36" s="152"/>
      <c r="N36" s="152"/>
    </row>
    <row r="37" spans="1:14">
      <c r="A37" s="31"/>
      <c r="B37" s="31"/>
      <c r="C37" s="31"/>
      <c r="D37" s="31"/>
      <c r="M37" s="152"/>
      <c r="N37" s="152"/>
    </row>
    <row r="38" spans="1:14">
      <c r="A38" s="31"/>
      <c r="B38" s="31"/>
      <c r="C38" s="31"/>
      <c r="D38" s="31"/>
      <c r="M38" s="152"/>
      <c r="N38" s="152"/>
    </row>
    <row r="39" spans="1:14">
      <c r="A39" s="31"/>
      <c r="B39" s="31"/>
      <c r="C39" s="31"/>
      <c r="D39" s="31"/>
      <c r="M39" s="152"/>
      <c r="N39" s="152"/>
    </row>
    <row r="40" spans="1:14">
      <c r="A40" s="31"/>
      <c r="B40" s="31"/>
      <c r="C40" s="31"/>
      <c r="D40" s="31"/>
      <c r="M40" s="152"/>
      <c r="N40" s="152"/>
    </row>
    <row r="41" spans="1:14">
      <c r="A41" s="31"/>
      <c r="B41" s="31"/>
      <c r="C41" s="31"/>
      <c r="D41" s="31"/>
      <c r="M41" s="152"/>
      <c r="N41" s="152"/>
    </row>
    <row r="42" spans="1:14">
      <c r="A42" s="31"/>
      <c r="B42" s="31"/>
      <c r="C42" s="31"/>
      <c r="D42" s="31"/>
      <c r="M42" s="152"/>
      <c r="N42" s="152"/>
    </row>
    <row r="43" spans="1:14">
      <c r="A43" s="31"/>
      <c r="B43" s="31"/>
      <c r="C43" s="31"/>
      <c r="D43" s="31"/>
      <c r="M43" s="152"/>
      <c r="N43" s="152"/>
    </row>
    <row r="44" spans="1:14">
      <c r="A44" s="31"/>
      <c r="B44" s="31"/>
      <c r="C44" s="31"/>
      <c r="D44" s="31"/>
      <c r="M44" s="152"/>
      <c r="N44" s="152"/>
    </row>
    <row r="45" spans="1:14">
      <c r="A45" s="31"/>
      <c r="B45" s="31"/>
      <c r="C45" s="31"/>
      <c r="D45" s="31"/>
      <c r="M45" s="152"/>
      <c r="N45" s="152"/>
    </row>
    <row r="46" spans="1:14">
      <c r="A46" s="31"/>
      <c r="B46" s="31"/>
      <c r="C46" s="31"/>
      <c r="D46" s="31"/>
      <c r="M46" s="152"/>
      <c r="N46" s="152"/>
    </row>
    <row r="47" spans="1:14">
      <c r="A47" s="31"/>
      <c r="B47" s="31"/>
      <c r="C47" s="31"/>
      <c r="D47" s="31"/>
    </row>
    <row r="48" spans="1:14">
      <c r="A48" s="31"/>
      <c r="B48" s="31"/>
      <c r="C48" s="31"/>
      <c r="D48" s="31"/>
    </row>
    <row r="49" spans="1:4">
      <c r="A49" s="31"/>
      <c r="B49" s="31"/>
      <c r="C49" s="31"/>
      <c r="D49" s="31"/>
    </row>
    <row r="50" spans="1:4">
      <c r="A50" s="31"/>
      <c r="B50" s="31"/>
      <c r="C50" s="31"/>
      <c r="D50" s="31"/>
    </row>
    <row r="51" spans="1:4">
      <c r="A51" s="31"/>
      <c r="B51" s="31"/>
      <c r="C51" s="31"/>
      <c r="D51" s="31"/>
    </row>
    <row r="52" spans="1:4">
      <c r="A52" s="31"/>
      <c r="B52" s="31"/>
      <c r="C52" s="31"/>
      <c r="D52" s="31"/>
    </row>
    <row r="53" spans="1:4">
      <c r="A53" s="31"/>
      <c r="B53" s="31"/>
      <c r="C53" s="31"/>
      <c r="D53" s="31"/>
    </row>
    <row r="54" spans="1:4">
      <c r="A54" s="31"/>
      <c r="B54" s="31"/>
      <c r="C54" s="31"/>
      <c r="D54" s="31"/>
    </row>
    <row r="55" spans="1:4">
      <c r="A55" s="31"/>
      <c r="B55" s="31"/>
      <c r="C55" s="31"/>
      <c r="D55" s="31"/>
    </row>
    <row r="56" spans="1:4">
      <c r="A56" s="31"/>
      <c r="B56" s="31"/>
      <c r="C56" s="31"/>
      <c r="D56" s="31"/>
    </row>
    <row r="57" spans="1:4">
      <c r="A57" s="31"/>
      <c r="B57" s="31"/>
      <c r="C57" s="31"/>
      <c r="D57" s="31"/>
    </row>
    <row r="58" spans="1:4">
      <c r="A58" s="31"/>
      <c r="B58" s="31"/>
      <c r="C58" s="31"/>
      <c r="D58" s="31"/>
    </row>
    <row r="59" spans="1:4">
      <c r="A59" s="31"/>
      <c r="B59" s="31"/>
      <c r="C59" s="31"/>
      <c r="D59" s="31"/>
    </row>
    <row r="60" spans="1:4">
      <c r="A60" s="31"/>
      <c r="B60" s="31"/>
      <c r="C60" s="31"/>
      <c r="D60" s="31"/>
    </row>
    <row r="61" spans="1:4">
      <c r="A61" s="31"/>
      <c r="B61" s="31"/>
      <c r="C61" s="31"/>
      <c r="D61" s="31"/>
    </row>
    <row r="62" spans="1:4">
      <c r="A62" s="31"/>
      <c r="B62" s="31"/>
      <c r="C62" s="31"/>
      <c r="D62" s="31"/>
    </row>
    <row r="63" spans="1:4">
      <c r="A63" s="31"/>
      <c r="B63" s="31"/>
      <c r="C63" s="31"/>
      <c r="D63" s="31"/>
    </row>
    <row r="64" spans="1:4">
      <c r="A64" s="31"/>
      <c r="B64" s="31"/>
      <c r="C64" s="31"/>
      <c r="D64" s="31"/>
    </row>
    <row r="65" spans="1:4">
      <c r="A65" s="31"/>
      <c r="B65" s="31"/>
      <c r="C65" s="31"/>
      <c r="D65" s="31"/>
    </row>
    <row r="66" spans="1:4">
      <c r="A66" s="31"/>
      <c r="B66" s="31"/>
      <c r="C66" s="31"/>
      <c r="D66" s="31"/>
    </row>
    <row r="67" spans="1:4">
      <c r="A67" s="31"/>
      <c r="B67" s="31"/>
      <c r="C67" s="31"/>
      <c r="D67" s="31"/>
    </row>
    <row r="77" spans="1:4">
      <c r="D77" s="148"/>
    </row>
    <row r="78" spans="1:4">
      <c r="D78" s="148"/>
    </row>
    <row r="79" spans="1:4">
      <c r="D79" s="148"/>
    </row>
    <row r="80" spans="1:4">
      <c r="D80" s="148"/>
    </row>
    <row r="81" spans="4:4">
      <c r="D81" s="148"/>
    </row>
    <row r="82" spans="4:4">
      <c r="D82" s="148"/>
    </row>
    <row r="83" spans="4:4">
      <c r="D83" s="148"/>
    </row>
    <row r="84" spans="4:4">
      <c r="D84" s="148"/>
    </row>
    <row r="85" spans="4:4">
      <c r="D85" s="148"/>
    </row>
    <row r="86" spans="4:4">
      <c r="D86" s="148"/>
    </row>
    <row r="87" spans="4:4">
      <c r="D87" s="148"/>
    </row>
    <row r="88" spans="4:4">
      <c r="D88" s="148"/>
    </row>
    <row r="89" spans="4:4">
      <c r="D89" s="148"/>
    </row>
    <row r="90" spans="4:4">
      <c r="D90" s="148"/>
    </row>
    <row r="91" spans="4:4">
      <c r="D91" s="148"/>
    </row>
    <row r="92" spans="4:4">
      <c r="D92" s="148"/>
    </row>
    <row r="93" spans="4:4">
      <c r="D93" s="148"/>
    </row>
    <row r="94" spans="4:4">
      <c r="D94" s="148"/>
    </row>
    <row r="95" spans="4:4">
      <c r="D95" s="148"/>
    </row>
    <row r="96" spans="4:4">
      <c r="D96" s="148"/>
    </row>
    <row r="97" spans="4:4">
      <c r="D97" s="148"/>
    </row>
    <row r="98" spans="4:4">
      <c r="D98" s="148"/>
    </row>
    <row r="99" spans="4:4">
      <c r="D99" s="148"/>
    </row>
    <row r="100" spans="4:4">
      <c r="D100" s="148"/>
    </row>
    <row r="101" spans="4:4">
      <c r="D101" s="148"/>
    </row>
    <row r="102" spans="4:4">
      <c r="D102" s="148"/>
    </row>
    <row r="103" spans="4:4">
      <c r="D103" s="148"/>
    </row>
    <row r="104" spans="4:4">
      <c r="D104" s="148"/>
    </row>
    <row r="105" spans="4:4">
      <c r="D105" s="148"/>
    </row>
    <row r="106" spans="4:4">
      <c r="D106" s="148"/>
    </row>
    <row r="107" spans="4:4">
      <c r="D107" s="148"/>
    </row>
    <row r="108" spans="4:4">
      <c r="D108" s="148"/>
    </row>
    <row r="109" spans="4:4">
      <c r="D109" s="148"/>
    </row>
    <row r="110" spans="4:4">
      <c r="D110" s="148"/>
    </row>
    <row r="111" spans="4:4">
      <c r="D111" s="148"/>
    </row>
    <row r="112" spans="4:4">
      <c r="D112" s="148"/>
    </row>
    <row r="113" spans="4:4">
      <c r="D113" s="148"/>
    </row>
    <row r="114" spans="4:4">
      <c r="D114" s="148"/>
    </row>
    <row r="115" spans="4:4">
      <c r="D115" s="148"/>
    </row>
    <row r="116" spans="4:4">
      <c r="D116" s="148"/>
    </row>
    <row r="117" spans="4:4">
      <c r="D117" s="148"/>
    </row>
    <row r="118" spans="4:4">
      <c r="D118" s="148"/>
    </row>
    <row r="119" spans="4:4">
      <c r="D119" s="148"/>
    </row>
    <row r="120" spans="4:4">
      <c r="D120" s="148"/>
    </row>
    <row r="121" spans="4:4">
      <c r="D121" s="148"/>
    </row>
    <row r="122" spans="4:4">
      <c r="D122" s="148"/>
    </row>
    <row r="123" spans="4:4">
      <c r="D123" s="148"/>
    </row>
    <row r="124" spans="4:4">
      <c r="D124" s="148"/>
    </row>
    <row r="125" spans="4:4">
      <c r="D125" s="148"/>
    </row>
    <row r="126" spans="4:4">
      <c r="D126" s="148"/>
    </row>
    <row r="127" spans="4:4">
      <c r="D127" s="148"/>
    </row>
    <row r="128" spans="4:4">
      <c r="D128" s="148"/>
    </row>
    <row r="129" spans="4:4">
      <c r="D129" s="148"/>
    </row>
    <row r="130" spans="4:4">
      <c r="D130" s="148"/>
    </row>
    <row r="131" spans="4:4">
      <c r="D131" s="148"/>
    </row>
    <row r="132" spans="4:4">
      <c r="D132" s="148"/>
    </row>
    <row r="133" spans="4:4">
      <c r="D133" s="148"/>
    </row>
    <row r="134" spans="4:4">
      <c r="D134" s="148"/>
    </row>
    <row r="135" spans="4:4">
      <c r="D135" s="148"/>
    </row>
    <row r="136" spans="4:4">
      <c r="D136" s="148"/>
    </row>
    <row r="137" spans="4:4">
      <c r="D137" s="148"/>
    </row>
    <row r="138" spans="4:4">
      <c r="D138" s="148"/>
    </row>
    <row r="139" spans="4:4">
      <c r="D139" s="148"/>
    </row>
    <row r="140" spans="4:4">
      <c r="D140" s="148"/>
    </row>
    <row r="141" spans="4:4">
      <c r="D141" s="148"/>
    </row>
    <row r="142" spans="4:4">
      <c r="D142" s="148"/>
    </row>
    <row r="143" spans="4:4">
      <c r="D143" s="148"/>
    </row>
    <row r="144" spans="4:4">
      <c r="D144" s="148"/>
    </row>
    <row r="145" spans="4:4">
      <c r="D145" s="148"/>
    </row>
    <row r="146" spans="4:4">
      <c r="D146" s="148"/>
    </row>
    <row r="147" spans="4:4">
      <c r="D147" s="148"/>
    </row>
    <row r="148" spans="4:4">
      <c r="D148" s="148"/>
    </row>
    <row r="149" spans="4:4">
      <c r="D149" s="148"/>
    </row>
    <row r="150" spans="4:4">
      <c r="D150" s="148"/>
    </row>
    <row r="151" spans="4:4">
      <c r="D151" s="148"/>
    </row>
    <row r="152" spans="4:4">
      <c r="D152" s="148"/>
    </row>
    <row r="153" spans="4:4">
      <c r="D153" s="148"/>
    </row>
    <row r="154" spans="4:4">
      <c r="D154" s="148"/>
    </row>
    <row r="155" spans="4:4">
      <c r="D155" s="148"/>
    </row>
    <row r="156" spans="4:4">
      <c r="D156" s="148"/>
    </row>
    <row r="157" spans="4:4">
      <c r="D157" s="148"/>
    </row>
    <row r="158" spans="4:4">
      <c r="D158" s="148"/>
    </row>
    <row r="159" spans="4:4">
      <c r="D159" s="148"/>
    </row>
    <row r="160" spans="4:4">
      <c r="D160" s="148"/>
    </row>
    <row r="161" spans="4:4">
      <c r="D161" s="148"/>
    </row>
    <row r="162" spans="4:4">
      <c r="D162" s="148"/>
    </row>
    <row r="163" spans="4:4">
      <c r="D163" s="148"/>
    </row>
    <row r="164" spans="4:4">
      <c r="D164" s="148"/>
    </row>
    <row r="165" spans="4:4">
      <c r="D165" s="148"/>
    </row>
    <row r="166" spans="4:4">
      <c r="D166" s="148"/>
    </row>
    <row r="167" spans="4:4">
      <c r="D167" s="148"/>
    </row>
    <row r="168" spans="4:4">
      <c r="D168" s="148"/>
    </row>
    <row r="169" spans="4:4">
      <c r="D169" s="148"/>
    </row>
    <row r="170" spans="4:4">
      <c r="D170" s="148"/>
    </row>
    <row r="171" spans="4:4">
      <c r="D171" s="148"/>
    </row>
    <row r="172" spans="4:4">
      <c r="D172" s="148"/>
    </row>
    <row r="173" spans="4:4">
      <c r="D173" s="148"/>
    </row>
    <row r="174" spans="4:4">
      <c r="D174" s="148"/>
    </row>
    <row r="175" spans="4:4">
      <c r="D175" s="148"/>
    </row>
    <row r="176" spans="4:4">
      <c r="D176" s="148"/>
    </row>
    <row r="177" spans="4:4">
      <c r="D177" s="148"/>
    </row>
    <row r="178" spans="4:4">
      <c r="D178" s="148"/>
    </row>
    <row r="179" spans="4:4">
      <c r="D179" s="148"/>
    </row>
    <row r="180" spans="4:4">
      <c r="D180" s="148"/>
    </row>
    <row r="181" spans="4:4">
      <c r="D181" s="148"/>
    </row>
    <row r="182" spans="4:4">
      <c r="D182" s="148"/>
    </row>
    <row r="183" spans="4:4">
      <c r="D183" s="148"/>
    </row>
    <row r="184" spans="4:4">
      <c r="D184" s="148"/>
    </row>
    <row r="185" spans="4:4">
      <c r="D185" s="148"/>
    </row>
    <row r="186" spans="4:4">
      <c r="D186" s="148"/>
    </row>
    <row r="187" spans="4:4">
      <c r="D187" s="148"/>
    </row>
    <row r="188" spans="4:4">
      <c r="D188" s="148"/>
    </row>
    <row r="189" spans="4:4">
      <c r="D189" s="148"/>
    </row>
    <row r="190" spans="4:4">
      <c r="D190" s="148"/>
    </row>
    <row r="191" spans="4:4">
      <c r="D191" s="148"/>
    </row>
    <row r="192" spans="4:4">
      <c r="D192" s="148"/>
    </row>
    <row r="193" spans="4:4">
      <c r="D193" s="148"/>
    </row>
    <row r="194" spans="4:4">
      <c r="D194" s="148"/>
    </row>
    <row r="195" spans="4:4">
      <c r="D195" s="148"/>
    </row>
    <row r="196" spans="4:4">
      <c r="D196" s="148"/>
    </row>
    <row r="197" spans="4:4">
      <c r="D197" s="148"/>
    </row>
    <row r="198" spans="4:4">
      <c r="D198" s="148"/>
    </row>
    <row r="199" spans="4:4">
      <c r="D199" s="148"/>
    </row>
    <row r="200" spans="4:4">
      <c r="D200" s="148"/>
    </row>
    <row r="201" spans="4:4">
      <c r="D201" s="148"/>
    </row>
    <row r="202" spans="4:4">
      <c r="D202" s="148"/>
    </row>
    <row r="203" spans="4:4">
      <c r="D203" s="148"/>
    </row>
    <row r="204" spans="4:4">
      <c r="D204" s="148"/>
    </row>
    <row r="205" spans="4:4">
      <c r="D205" s="148"/>
    </row>
    <row r="206" spans="4:4">
      <c r="D206" s="148"/>
    </row>
    <row r="207" spans="4:4">
      <c r="D207" s="148"/>
    </row>
    <row r="208" spans="4:4">
      <c r="D208" s="148"/>
    </row>
    <row r="209" spans="4:4">
      <c r="D209" s="148"/>
    </row>
    <row r="210" spans="4:4">
      <c r="D210" s="148"/>
    </row>
    <row r="211" spans="4:4">
      <c r="D211" s="148"/>
    </row>
    <row r="212" spans="4:4">
      <c r="D212" s="148"/>
    </row>
    <row r="213" spans="4:4">
      <c r="D213" s="148"/>
    </row>
    <row r="214" spans="4:4">
      <c r="D214" s="148"/>
    </row>
    <row r="215" spans="4:4">
      <c r="D215" s="148"/>
    </row>
    <row r="216" spans="4:4">
      <c r="D216" s="148"/>
    </row>
    <row r="217" spans="4:4">
      <c r="D217" s="148"/>
    </row>
    <row r="218" spans="4:4">
      <c r="D218" s="148"/>
    </row>
    <row r="219" spans="4:4">
      <c r="D219" s="148"/>
    </row>
    <row r="220" spans="4:4">
      <c r="D220" s="148"/>
    </row>
    <row r="221" spans="4:4">
      <c r="D221" s="148"/>
    </row>
    <row r="222" spans="4:4">
      <c r="D222" s="148"/>
    </row>
    <row r="223" spans="4:4">
      <c r="D223" s="148"/>
    </row>
    <row r="224" spans="4:4">
      <c r="D224" s="148"/>
    </row>
    <row r="225" spans="4:4">
      <c r="D225" s="148"/>
    </row>
    <row r="226" spans="4:4">
      <c r="D226" s="148"/>
    </row>
    <row r="227" spans="4:4">
      <c r="D227" s="148"/>
    </row>
    <row r="228" spans="4:4">
      <c r="D228" s="148"/>
    </row>
    <row r="229" spans="4:4">
      <c r="D229" s="148"/>
    </row>
    <row r="230" spans="4:4">
      <c r="D230" s="148"/>
    </row>
    <row r="231" spans="4:4">
      <c r="D231" s="148"/>
    </row>
    <row r="232" spans="4:4">
      <c r="D232" s="148"/>
    </row>
    <row r="233" spans="4:4">
      <c r="D233" s="148"/>
    </row>
    <row r="234" spans="4:4">
      <c r="D234" s="148"/>
    </row>
    <row r="235" spans="4:4">
      <c r="D235" s="148"/>
    </row>
    <row r="236" spans="4:4">
      <c r="D236" s="148"/>
    </row>
    <row r="237" spans="4:4">
      <c r="D237" s="148"/>
    </row>
    <row r="238" spans="4:4">
      <c r="D238" s="148"/>
    </row>
    <row r="239" spans="4:4">
      <c r="D239" s="148"/>
    </row>
    <row r="240" spans="4:4">
      <c r="D240" s="148"/>
    </row>
    <row r="241" spans="4:4">
      <c r="D241" s="148"/>
    </row>
    <row r="242" spans="4:4">
      <c r="D242" s="148"/>
    </row>
    <row r="243" spans="4:4">
      <c r="D243" s="148"/>
    </row>
    <row r="244" spans="4:4">
      <c r="D244" s="148"/>
    </row>
    <row r="245" spans="4:4">
      <c r="D245" s="148"/>
    </row>
    <row r="246" spans="4:4">
      <c r="D246" s="148"/>
    </row>
    <row r="247" spans="4:4">
      <c r="D247" s="148"/>
    </row>
    <row r="248" spans="4:4">
      <c r="D248" s="148"/>
    </row>
    <row r="249" spans="4:4">
      <c r="D249" s="148"/>
    </row>
    <row r="250" spans="4:4">
      <c r="D250" s="148"/>
    </row>
    <row r="251" spans="4:4">
      <c r="D251" s="148"/>
    </row>
    <row r="252" spans="4:4">
      <c r="D252" s="148"/>
    </row>
    <row r="253" spans="4:4">
      <c r="D253" s="148"/>
    </row>
    <row r="254" spans="4:4">
      <c r="D254" s="148"/>
    </row>
    <row r="255" spans="4:4">
      <c r="D255" s="148"/>
    </row>
    <row r="256" spans="4:4">
      <c r="D256" s="148"/>
    </row>
    <row r="257" spans="4:4">
      <c r="D257" s="148"/>
    </row>
    <row r="258" spans="4:4">
      <c r="D258" s="148"/>
    </row>
    <row r="259" spans="4:4">
      <c r="D259" s="148"/>
    </row>
    <row r="260" spans="4:4">
      <c r="D260" s="148"/>
    </row>
    <row r="261" spans="4:4">
      <c r="D261" s="148"/>
    </row>
    <row r="262" spans="4:4">
      <c r="D262" s="148"/>
    </row>
    <row r="263" spans="4:4">
      <c r="D263" s="148"/>
    </row>
    <row r="264" spans="4:4">
      <c r="D264" s="148"/>
    </row>
    <row r="265" spans="4:4">
      <c r="D265" s="148"/>
    </row>
    <row r="266" spans="4:4">
      <c r="D266" s="148"/>
    </row>
    <row r="267" spans="4:4">
      <c r="D267" s="148"/>
    </row>
    <row r="268" spans="4:4">
      <c r="D268" s="148"/>
    </row>
    <row r="269" spans="4:4">
      <c r="D269" s="148"/>
    </row>
    <row r="270" spans="4:4">
      <c r="D270" s="148"/>
    </row>
    <row r="271" spans="4:4">
      <c r="D271" s="148"/>
    </row>
    <row r="272" spans="4:4">
      <c r="D272" s="148"/>
    </row>
    <row r="273" spans="4:4">
      <c r="D273" s="148"/>
    </row>
    <row r="274" spans="4:4">
      <c r="D274" s="148"/>
    </row>
    <row r="275" spans="4:4">
      <c r="D275" s="148"/>
    </row>
    <row r="276" spans="4:4">
      <c r="D276" s="148"/>
    </row>
    <row r="277" spans="4:4">
      <c r="D277" s="148"/>
    </row>
    <row r="278" spans="4:4">
      <c r="D278" s="148"/>
    </row>
    <row r="279" spans="4:4">
      <c r="D279" s="148"/>
    </row>
    <row r="280" spans="4:4">
      <c r="D280" s="148"/>
    </row>
    <row r="281" spans="4:4">
      <c r="D281" s="148"/>
    </row>
    <row r="282" spans="4:4">
      <c r="D282" s="148"/>
    </row>
    <row r="283" spans="4:4">
      <c r="D283" s="148"/>
    </row>
    <row r="284" spans="4:4">
      <c r="D284" s="148"/>
    </row>
    <row r="285" spans="4:4">
      <c r="D285" s="148"/>
    </row>
    <row r="286" spans="4:4">
      <c r="D286" s="148"/>
    </row>
    <row r="287" spans="4:4">
      <c r="D287" s="148"/>
    </row>
    <row r="288" spans="4:4">
      <c r="D288" s="148"/>
    </row>
    <row r="289" spans="4:4">
      <c r="D289" s="148"/>
    </row>
    <row r="290" spans="4:4">
      <c r="D290" s="148"/>
    </row>
    <row r="291" spans="4:4">
      <c r="D291" s="148"/>
    </row>
    <row r="292" spans="4:4">
      <c r="D292" s="148"/>
    </row>
    <row r="293" spans="4:4">
      <c r="D293" s="148"/>
    </row>
    <row r="294" spans="4:4">
      <c r="D294" s="148"/>
    </row>
    <row r="295" spans="4:4">
      <c r="D295" s="148"/>
    </row>
    <row r="296" spans="4:4">
      <c r="D296" s="148"/>
    </row>
    <row r="297" spans="4:4">
      <c r="D297" s="148"/>
    </row>
    <row r="298" spans="4:4">
      <c r="D298" s="148"/>
    </row>
    <row r="299" spans="4:4">
      <c r="D299" s="148"/>
    </row>
    <row r="300" spans="4:4">
      <c r="D300" s="148"/>
    </row>
    <row r="301" spans="4:4">
      <c r="D301" s="148"/>
    </row>
    <row r="302" spans="4:4">
      <c r="D302" s="148"/>
    </row>
    <row r="303" spans="4:4">
      <c r="D303" s="148"/>
    </row>
    <row r="304" spans="4:4">
      <c r="D304" s="148"/>
    </row>
    <row r="305" spans="4:4">
      <c r="D305" s="148"/>
    </row>
    <row r="306" spans="4:4">
      <c r="D306" s="148"/>
    </row>
    <row r="307" spans="4:4">
      <c r="D307" s="148"/>
    </row>
    <row r="308" spans="4:4">
      <c r="D308" s="148"/>
    </row>
    <row r="309" spans="4:4">
      <c r="D309" s="148"/>
    </row>
    <row r="310" spans="4:4">
      <c r="D310" s="148"/>
    </row>
    <row r="311" spans="4:4">
      <c r="D311" s="148"/>
    </row>
    <row r="312" spans="4:4">
      <c r="D312" s="148"/>
    </row>
    <row r="313" spans="4:4">
      <c r="D313" s="148"/>
    </row>
    <row r="314" spans="4:4">
      <c r="D314" s="148"/>
    </row>
    <row r="315" spans="4:4">
      <c r="D315" s="148"/>
    </row>
    <row r="316" spans="4:4">
      <c r="D316" s="148"/>
    </row>
    <row r="317" spans="4:4">
      <c r="D317" s="148"/>
    </row>
    <row r="318" spans="4:4">
      <c r="D318" s="148"/>
    </row>
    <row r="319" spans="4:4">
      <c r="D319" s="148"/>
    </row>
    <row r="320" spans="4:4">
      <c r="D320" s="148"/>
    </row>
    <row r="321" spans="4:4">
      <c r="D321" s="148"/>
    </row>
    <row r="322" spans="4:4">
      <c r="D322" s="148"/>
    </row>
    <row r="323" spans="4:4">
      <c r="D323" s="148"/>
    </row>
    <row r="324" spans="4:4">
      <c r="D324" s="148"/>
    </row>
    <row r="325" spans="4:4">
      <c r="D325" s="148"/>
    </row>
    <row r="326" spans="4:4">
      <c r="D326" s="148"/>
    </row>
    <row r="327" spans="4:4">
      <c r="D327" s="148"/>
    </row>
    <row r="328" spans="4:4">
      <c r="D328" s="148"/>
    </row>
    <row r="329" spans="4:4">
      <c r="D329" s="148"/>
    </row>
    <row r="330" spans="4:4">
      <c r="D330" s="148"/>
    </row>
    <row r="331" spans="4:4">
      <c r="D331" s="148"/>
    </row>
    <row r="332" spans="4:4">
      <c r="D332" s="148"/>
    </row>
    <row r="333" spans="4:4">
      <c r="D333" s="148"/>
    </row>
    <row r="334" spans="4:4">
      <c r="D334" s="148"/>
    </row>
    <row r="335" spans="4:4">
      <c r="D335" s="148"/>
    </row>
    <row r="336" spans="4:4">
      <c r="D336" s="148"/>
    </row>
    <row r="337" spans="4:4">
      <c r="D337" s="148"/>
    </row>
    <row r="338" spans="4:4">
      <c r="D338" s="148"/>
    </row>
    <row r="339" spans="4:4">
      <c r="D339" s="148"/>
    </row>
    <row r="340" spans="4:4">
      <c r="D340" s="148"/>
    </row>
    <row r="341" spans="4:4">
      <c r="D341" s="148"/>
    </row>
    <row r="342" spans="4:4">
      <c r="D342" s="148"/>
    </row>
    <row r="343" spans="4:4">
      <c r="D343" s="148"/>
    </row>
    <row r="344" spans="4:4">
      <c r="D344" s="148"/>
    </row>
    <row r="345" spans="4:4">
      <c r="D345" s="148"/>
    </row>
    <row r="346" spans="4:4">
      <c r="D346" s="148"/>
    </row>
    <row r="347" spans="4:4">
      <c r="D347" s="148"/>
    </row>
    <row r="348" spans="4:4">
      <c r="D348" s="148"/>
    </row>
    <row r="349" spans="4:4">
      <c r="D349" s="148"/>
    </row>
    <row r="350" spans="4:4">
      <c r="D350" s="148"/>
    </row>
    <row r="351" spans="4:4">
      <c r="D351" s="148"/>
    </row>
    <row r="352" spans="4:4">
      <c r="D352" s="148"/>
    </row>
    <row r="353" spans="4:4">
      <c r="D353" s="148"/>
    </row>
    <row r="354" spans="4:4">
      <c r="D354" s="148"/>
    </row>
    <row r="355" spans="4:4">
      <c r="D355" s="148"/>
    </row>
    <row r="356" spans="4:4">
      <c r="D356" s="148"/>
    </row>
    <row r="357" spans="4:4">
      <c r="D357" s="148"/>
    </row>
    <row r="358" spans="4:4">
      <c r="D358" s="148"/>
    </row>
    <row r="359" spans="4:4">
      <c r="D359" s="148"/>
    </row>
    <row r="360" spans="4:4">
      <c r="D360" s="148"/>
    </row>
    <row r="361" spans="4:4">
      <c r="D361" s="148"/>
    </row>
    <row r="362" spans="4:4">
      <c r="D362" s="148"/>
    </row>
    <row r="363" spans="4:4">
      <c r="D363" s="148"/>
    </row>
    <row r="364" spans="4:4">
      <c r="D364" s="148"/>
    </row>
    <row r="365" spans="4:4">
      <c r="D365" s="148"/>
    </row>
    <row r="366" spans="4:4">
      <c r="D366" s="148"/>
    </row>
    <row r="367" spans="4:4">
      <c r="D367" s="148"/>
    </row>
    <row r="368" spans="4:4">
      <c r="D368" s="148"/>
    </row>
    <row r="369" spans="4:4">
      <c r="D369" s="148"/>
    </row>
    <row r="370" spans="4:4">
      <c r="D370" s="148"/>
    </row>
    <row r="371" spans="4:4">
      <c r="D371" s="148"/>
    </row>
    <row r="372" spans="4:4">
      <c r="D372" s="148"/>
    </row>
    <row r="373" spans="4:4">
      <c r="D373" s="148"/>
    </row>
    <row r="374" spans="4:4">
      <c r="D374" s="148"/>
    </row>
    <row r="375" spans="4:4">
      <c r="D375" s="148"/>
    </row>
    <row r="376" spans="4:4">
      <c r="D376" s="148"/>
    </row>
    <row r="377" spans="4:4">
      <c r="D377" s="148"/>
    </row>
    <row r="378" spans="4:4">
      <c r="D378" s="148"/>
    </row>
    <row r="379" spans="4:4">
      <c r="D379" s="148"/>
    </row>
    <row r="380" spans="4:4">
      <c r="D380" s="148"/>
    </row>
    <row r="381" spans="4:4">
      <c r="D381" s="148"/>
    </row>
    <row r="382" spans="4:4">
      <c r="D382" s="148"/>
    </row>
    <row r="383" spans="4:4">
      <c r="D383" s="148"/>
    </row>
    <row r="384" spans="4:4">
      <c r="D384" s="148"/>
    </row>
    <row r="385" spans="4:4">
      <c r="D385" s="148"/>
    </row>
    <row r="386" spans="4:4">
      <c r="D386" s="148"/>
    </row>
    <row r="387" spans="4:4">
      <c r="D387" s="148"/>
    </row>
    <row r="388" spans="4:4">
      <c r="D388" s="148"/>
    </row>
    <row r="389" spans="4:4">
      <c r="D389" s="148"/>
    </row>
    <row r="390" spans="4:4">
      <c r="D390" s="148"/>
    </row>
    <row r="391" spans="4:4">
      <c r="D391" s="148"/>
    </row>
    <row r="392" spans="4:4">
      <c r="D392" s="148"/>
    </row>
    <row r="393" spans="4:4">
      <c r="D393" s="148"/>
    </row>
    <row r="394" spans="4:4">
      <c r="D394" s="148"/>
    </row>
    <row r="395" spans="4:4">
      <c r="D395" s="148"/>
    </row>
    <row r="396" spans="4:4">
      <c r="D396" s="148"/>
    </row>
    <row r="397" spans="4:4">
      <c r="D397" s="148"/>
    </row>
    <row r="398" spans="4:4">
      <c r="D398" s="148"/>
    </row>
    <row r="399" spans="4:4">
      <c r="D399" s="148"/>
    </row>
    <row r="400" spans="4:4">
      <c r="D400" s="148"/>
    </row>
    <row r="401" spans="4:4">
      <c r="D401" s="148"/>
    </row>
    <row r="402" spans="4:4">
      <c r="D402" s="148"/>
    </row>
    <row r="403" spans="4:4">
      <c r="D403" s="148"/>
    </row>
    <row r="404" spans="4:4">
      <c r="D404" s="148"/>
    </row>
    <row r="405" spans="4:4">
      <c r="D405" s="148"/>
    </row>
    <row r="406" spans="4:4">
      <c r="D406" s="148"/>
    </row>
    <row r="407" spans="4:4">
      <c r="D407" s="148"/>
    </row>
    <row r="408" spans="4:4">
      <c r="D408" s="148"/>
    </row>
    <row r="409" spans="4:4">
      <c r="D409" s="148"/>
    </row>
    <row r="410" spans="4:4">
      <c r="D410" s="148"/>
    </row>
    <row r="411" spans="4:4">
      <c r="D411" s="148"/>
    </row>
    <row r="412" spans="4:4">
      <c r="D412" s="148"/>
    </row>
    <row r="413" spans="4:4">
      <c r="D413" s="148"/>
    </row>
    <row r="414" spans="4:4">
      <c r="D414" s="148"/>
    </row>
    <row r="415" spans="4:4">
      <c r="D415" s="148"/>
    </row>
    <row r="416" spans="4:4">
      <c r="D416" s="148"/>
    </row>
    <row r="417" spans="4:4">
      <c r="D417" s="148"/>
    </row>
    <row r="418" spans="4:4">
      <c r="D418" s="148"/>
    </row>
    <row r="419" spans="4:4">
      <c r="D419" s="148"/>
    </row>
    <row r="420" spans="4:4">
      <c r="D420" s="148"/>
    </row>
    <row r="421" spans="4:4">
      <c r="D421" s="148"/>
    </row>
    <row r="422" spans="4:4">
      <c r="D422" s="148"/>
    </row>
    <row r="423" spans="4:4">
      <c r="D423" s="148"/>
    </row>
    <row r="424" spans="4:4">
      <c r="D424" s="148"/>
    </row>
    <row r="425" spans="4:4">
      <c r="D425" s="148"/>
    </row>
    <row r="426" spans="4:4">
      <c r="D426" s="148"/>
    </row>
    <row r="427" spans="4:4">
      <c r="D427" s="148"/>
    </row>
    <row r="428" spans="4:4">
      <c r="D428" s="148"/>
    </row>
    <row r="429" spans="4:4">
      <c r="D429" s="148"/>
    </row>
    <row r="430" spans="4:4">
      <c r="D430" s="148"/>
    </row>
    <row r="431" spans="4:4">
      <c r="D431" s="148"/>
    </row>
    <row r="432" spans="4:4">
      <c r="D432" s="148"/>
    </row>
    <row r="433" spans="4:4">
      <c r="D433" s="148"/>
    </row>
    <row r="434" spans="4:4">
      <c r="D434" s="148"/>
    </row>
    <row r="435" spans="4:4">
      <c r="D435" s="148"/>
    </row>
    <row r="436" spans="4:4">
      <c r="D436" s="148"/>
    </row>
    <row r="437" spans="4:4">
      <c r="D437" s="148"/>
    </row>
    <row r="438" spans="4:4">
      <c r="D438" s="148"/>
    </row>
    <row r="439" spans="4:4">
      <c r="D439" s="148"/>
    </row>
    <row r="440" spans="4:4">
      <c r="D440" s="148"/>
    </row>
    <row r="441" spans="4:4">
      <c r="D441" s="148"/>
    </row>
    <row r="442" spans="4:4">
      <c r="D442" s="148"/>
    </row>
    <row r="443" spans="4:4">
      <c r="D443" s="148"/>
    </row>
    <row r="444" spans="4:4">
      <c r="D444" s="148"/>
    </row>
    <row r="445" spans="4:4">
      <c r="D445" s="148"/>
    </row>
    <row r="446" spans="4:4">
      <c r="D446" s="148"/>
    </row>
    <row r="447" spans="4:4">
      <c r="D447" s="148"/>
    </row>
    <row r="448" spans="4:4">
      <c r="D448" s="148"/>
    </row>
    <row r="449" spans="4:4">
      <c r="D449" s="148"/>
    </row>
    <row r="450" spans="4:4">
      <c r="D450" s="148"/>
    </row>
    <row r="451" spans="4:4">
      <c r="D451" s="148"/>
    </row>
    <row r="452" spans="4:4">
      <c r="D452" s="148"/>
    </row>
    <row r="453" spans="4:4">
      <c r="D453" s="148"/>
    </row>
    <row r="454" spans="4:4">
      <c r="D454" s="148"/>
    </row>
    <row r="455" spans="4:4">
      <c r="D455" s="148"/>
    </row>
    <row r="456" spans="4:4">
      <c r="D456" s="148"/>
    </row>
    <row r="457" spans="4:4">
      <c r="D457" s="148"/>
    </row>
    <row r="458" spans="4:4">
      <c r="D458" s="148"/>
    </row>
    <row r="459" spans="4:4">
      <c r="D459" s="148"/>
    </row>
    <row r="460" spans="4:4">
      <c r="D460" s="148"/>
    </row>
    <row r="461" spans="4:4">
      <c r="D461" s="148"/>
    </row>
    <row r="462" spans="4:4">
      <c r="D462" s="148"/>
    </row>
    <row r="463" spans="4:4">
      <c r="D463" s="148"/>
    </row>
    <row r="464" spans="4:4">
      <c r="D464" s="148"/>
    </row>
    <row r="465" spans="4:4">
      <c r="D465" s="148"/>
    </row>
    <row r="466" spans="4:4">
      <c r="D466" s="148"/>
    </row>
    <row r="467" spans="4:4">
      <c r="D467" s="148"/>
    </row>
    <row r="468" spans="4:4">
      <c r="D468" s="148"/>
    </row>
    <row r="469" spans="4:4">
      <c r="D469" s="148"/>
    </row>
    <row r="470" spans="4:4">
      <c r="D470" s="148"/>
    </row>
    <row r="471" spans="4:4">
      <c r="D471" s="148"/>
    </row>
    <row r="472" spans="4:4">
      <c r="D472" s="148"/>
    </row>
    <row r="473" spans="4:4">
      <c r="D473" s="148"/>
    </row>
    <row r="474" spans="4:4">
      <c r="D474" s="148"/>
    </row>
    <row r="475" spans="4:4">
      <c r="D475" s="148"/>
    </row>
    <row r="476" spans="4:4">
      <c r="D476" s="148"/>
    </row>
    <row r="477" spans="4:4">
      <c r="D477" s="148"/>
    </row>
    <row r="478" spans="4:4">
      <c r="D478" s="148"/>
    </row>
    <row r="479" spans="4:4">
      <c r="D479" s="148"/>
    </row>
    <row r="480" spans="4:4">
      <c r="D480" s="148"/>
    </row>
    <row r="481" spans="4:4">
      <c r="D481" s="148"/>
    </row>
    <row r="482" spans="4:4">
      <c r="D482" s="148"/>
    </row>
    <row r="483" spans="4:4">
      <c r="D483" s="148"/>
    </row>
    <row r="484" spans="4:4">
      <c r="D484" s="148"/>
    </row>
    <row r="485" spans="4:4">
      <c r="D485" s="148"/>
    </row>
    <row r="486" spans="4:4">
      <c r="D486" s="148"/>
    </row>
    <row r="487" spans="4:4">
      <c r="D487" s="148"/>
    </row>
    <row r="488" spans="4:4">
      <c r="D488" s="148"/>
    </row>
    <row r="489" spans="4:4">
      <c r="D489" s="148"/>
    </row>
    <row r="490" spans="4:4">
      <c r="D490" s="148"/>
    </row>
    <row r="491" spans="4:4">
      <c r="D491" s="148"/>
    </row>
    <row r="492" spans="4:4">
      <c r="D492" s="148"/>
    </row>
    <row r="493" spans="4:4">
      <c r="D493" s="148"/>
    </row>
    <row r="494" spans="4:4">
      <c r="D494" s="148"/>
    </row>
    <row r="495" spans="4:4">
      <c r="D495" s="148"/>
    </row>
    <row r="496" spans="4:4">
      <c r="D496" s="148"/>
    </row>
    <row r="497" spans="4:4">
      <c r="D497" s="148"/>
    </row>
    <row r="498" spans="4:4">
      <c r="D498" s="148"/>
    </row>
    <row r="499" spans="4:4">
      <c r="D499" s="148"/>
    </row>
    <row r="500" spans="4:4">
      <c r="D500" s="148"/>
    </row>
    <row r="501" spans="4:4">
      <c r="D501" s="148"/>
    </row>
    <row r="502" spans="4:4">
      <c r="D502" s="148"/>
    </row>
    <row r="503" spans="4:4">
      <c r="D503" s="148"/>
    </row>
    <row r="504" spans="4:4">
      <c r="D504" s="148"/>
    </row>
    <row r="505" spans="4:4">
      <c r="D505" s="148"/>
    </row>
    <row r="506" spans="4:4">
      <c r="D506" s="148"/>
    </row>
    <row r="507" spans="4:4">
      <c r="D507" s="148"/>
    </row>
    <row r="508" spans="4:4">
      <c r="D508" s="148"/>
    </row>
    <row r="509" spans="4:4">
      <c r="D509" s="148"/>
    </row>
    <row r="510" spans="4:4">
      <c r="D510" s="148"/>
    </row>
    <row r="511" spans="4:4">
      <c r="D511" s="148"/>
    </row>
    <row r="512" spans="4:4">
      <c r="D512" s="148"/>
    </row>
    <row r="513" spans="4:4">
      <c r="D513" s="148"/>
    </row>
    <row r="514" spans="4:4">
      <c r="D514" s="148"/>
    </row>
    <row r="515" spans="4:4">
      <c r="D515" s="148"/>
    </row>
    <row r="516" spans="4:4">
      <c r="D516" s="148"/>
    </row>
    <row r="517" spans="4:4">
      <c r="D517" s="148"/>
    </row>
    <row r="518" spans="4:4">
      <c r="D518" s="148"/>
    </row>
    <row r="519" spans="4:4">
      <c r="D519" s="148"/>
    </row>
    <row r="520" spans="4:4">
      <c r="D520" s="148"/>
    </row>
    <row r="521" spans="4:4">
      <c r="D521" s="148"/>
    </row>
    <row r="522" spans="4:4">
      <c r="D522" s="148"/>
    </row>
    <row r="523" spans="4:4">
      <c r="D523" s="148"/>
    </row>
    <row r="524" spans="4:4">
      <c r="D524" s="148"/>
    </row>
    <row r="525" spans="4:4">
      <c r="D525" s="148"/>
    </row>
    <row r="526" spans="4:4">
      <c r="D526" s="148"/>
    </row>
    <row r="527" spans="4:4">
      <c r="D527" s="148"/>
    </row>
    <row r="528" spans="4:4">
      <c r="D528" s="148"/>
    </row>
    <row r="529" spans="4:4">
      <c r="D529" s="148"/>
    </row>
    <row r="530" spans="4:4">
      <c r="D530" s="148"/>
    </row>
    <row r="531" spans="4:4">
      <c r="D531" s="148"/>
    </row>
    <row r="532" spans="4:4">
      <c r="D532" s="148"/>
    </row>
    <row r="533" spans="4:4">
      <c r="D533" s="148"/>
    </row>
    <row r="534" spans="4:4">
      <c r="D534" s="148"/>
    </row>
    <row r="535" spans="4:4">
      <c r="D535" s="148"/>
    </row>
    <row r="536" spans="4:4">
      <c r="D536" s="148"/>
    </row>
    <row r="537" spans="4:4">
      <c r="D537" s="148"/>
    </row>
    <row r="538" spans="4:4">
      <c r="D538" s="148"/>
    </row>
    <row r="539" spans="4:4">
      <c r="D539" s="148"/>
    </row>
    <row r="540" spans="4:4">
      <c r="D540" s="148"/>
    </row>
    <row r="541" spans="4:4">
      <c r="D541" s="148"/>
    </row>
    <row r="542" spans="4:4">
      <c r="D542" s="148"/>
    </row>
    <row r="543" spans="4:4">
      <c r="D543" s="148"/>
    </row>
    <row r="544" spans="4:4">
      <c r="D544" s="148"/>
    </row>
    <row r="545" spans="4:4">
      <c r="D545" s="148"/>
    </row>
    <row r="546" spans="4:4">
      <c r="D546" s="148"/>
    </row>
    <row r="547" spans="4:4">
      <c r="D547" s="148"/>
    </row>
    <row r="548" spans="4:4">
      <c r="D548" s="148"/>
    </row>
    <row r="549" spans="4:4">
      <c r="D549" s="148"/>
    </row>
    <row r="550" spans="4:4">
      <c r="D550" s="148"/>
    </row>
    <row r="551" spans="4:4">
      <c r="D551" s="148"/>
    </row>
    <row r="552" spans="4:4">
      <c r="D552" s="148"/>
    </row>
    <row r="553" spans="4:4">
      <c r="D553" s="148"/>
    </row>
    <row r="554" spans="4:4">
      <c r="D554" s="148"/>
    </row>
    <row r="555" spans="4:4">
      <c r="D555" s="148"/>
    </row>
    <row r="556" spans="4:4">
      <c r="D556" s="148"/>
    </row>
    <row r="557" spans="4:4">
      <c r="D557" s="148"/>
    </row>
    <row r="558" spans="4:4">
      <c r="D558" s="148"/>
    </row>
    <row r="559" spans="4:4">
      <c r="D559" s="148"/>
    </row>
    <row r="560" spans="4:4">
      <c r="D560" s="148"/>
    </row>
    <row r="561" spans="4:4">
      <c r="D561" s="148"/>
    </row>
    <row r="562" spans="4:4">
      <c r="D562" s="148"/>
    </row>
    <row r="563" spans="4:4">
      <c r="D563" s="148"/>
    </row>
    <row r="564" spans="4:4">
      <c r="D564" s="148"/>
    </row>
    <row r="565" spans="4:4">
      <c r="D565" s="148"/>
    </row>
    <row r="566" spans="4:4">
      <c r="D566" s="148"/>
    </row>
    <row r="567" spans="4:4">
      <c r="D567" s="148"/>
    </row>
    <row r="568" spans="4:4">
      <c r="D568" s="148"/>
    </row>
    <row r="569" spans="4:4">
      <c r="D569" s="148"/>
    </row>
    <row r="570" spans="4:4">
      <c r="D570" s="148"/>
    </row>
    <row r="571" spans="4:4">
      <c r="D571" s="148"/>
    </row>
    <row r="572" spans="4:4">
      <c r="D572" s="148"/>
    </row>
    <row r="573" spans="4:4">
      <c r="D573" s="148"/>
    </row>
    <row r="574" spans="4:4">
      <c r="D574" s="148"/>
    </row>
    <row r="575" spans="4:4">
      <c r="D575" s="148"/>
    </row>
    <row r="576" spans="4:4">
      <c r="D576" s="148"/>
    </row>
    <row r="577" spans="4:4">
      <c r="D577" s="148"/>
    </row>
    <row r="578" spans="4:4">
      <c r="D578" s="148"/>
    </row>
    <row r="579" spans="4:4">
      <c r="D579" s="148"/>
    </row>
    <row r="580" spans="4:4">
      <c r="D580" s="148"/>
    </row>
    <row r="581" spans="4:4">
      <c r="D581" s="148"/>
    </row>
    <row r="582" spans="4:4">
      <c r="D582" s="148"/>
    </row>
    <row r="583" spans="4:4">
      <c r="D583" s="148"/>
    </row>
    <row r="584" spans="4:4">
      <c r="D584" s="148"/>
    </row>
    <row r="585" spans="4:4">
      <c r="D585" s="148"/>
    </row>
    <row r="586" spans="4:4">
      <c r="D586" s="148"/>
    </row>
    <row r="587" spans="4:4">
      <c r="D587" s="148"/>
    </row>
    <row r="588" spans="4:4">
      <c r="D588" s="148"/>
    </row>
    <row r="589" spans="4:4">
      <c r="D589" s="148"/>
    </row>
    <row r="590" spans="4:4">
      <c r="D590" s="148"/>
    </row>
    <row r="591" spans="4:4">
      <c r="D591" s="148"/>
    </row>
    <row r="592" spans="4:4">
      <c r="D592" s="148"/>
    </row>
    <row r="593" spans="4:4">
      <c r="D593" s="148"/>
    </row>
    <row r="594" spans="4:4">
      <c r="D594" s="148"/>
    </row>
    <row r="595" spans="4:4">
      <c r="D595" s="148"/>
    </row>
    <row r="596" spans="4:4">
      <c r="D596" s="148"/>
    </row>
    <row r="597" spans="4:4">
      <c r="D597" s="148"/>
    </row>
    <row r="598" spans="4:4">
      <c r="D598" s="148"/>
    </row>
    <row r="599" spans="4:4">
      <c r="D599" s="148"/>
    </row>
    <row r="600" spans="4:4">
      <c r="D600" s="148"/>
    </row>
    <row r="601" spans="4:4">
      <c r="D601" s="148"/>
    </row>
    <row r="602" spans="4:4">
      <c r="D602" s="148"/>
    </row>
    <row r="603" spans="4:4">
      <c r="D603" s="148"/>
    </row>
    <row r="604" spans="4:4">
      <c r="D604" s="148"/>
    </row>
    <row r="605" spans="4:4">
      <c r="D605" s="148"/>
    </row>
    <row r="606" spans="4:4">
      <c r="D606" s="148"/>
    </row>
    <row r="607" spans="4:4">
      <c r="D607" s="148"/>
    </row>
    <row r="608" spans="4:4">
      <c r="D608" s="148"/>
    </row>
    <row r="609" spans="4:4">
      <c r="D609" s="148"/>
    </row>
    <row r="610" spans="4:4">
      <c r="D610" s="148"/>
    </row>
    <row r="611" spans="4:4">
      <c r="D611" s="148"/>
    </row>
    <row r="612" spans="4:4">
      <c r="D612" s="148"/>
    </row>
    <row r="613" spans="4:4">
      <c r="D613" s="148"/>
    </row>
    <row r="614" spans="4:4">
      <c r="D614" s="148"/>
    </row>
    <row r="615" spans="4:4">
      <c r="D615" s="148"/>
    </row>
    <row r="616" spans="4:4">
      <c r="D616" s="148"/>
    </row>
    <row r="617" spans="4:4">
      <c r="D617" s="148"/>
    </row>
    <row r="618" spans="4:4">
      <c r="D618" s="148"/>
    </row>
    <row r="619" spans="4:4">
      <c r="D619" s="148"/>
    </row>
    <row r="620" spans="4:4">
      <c r="D620" s="148"/>
    </row>
    <row r="621" spans="4:4">
      <c r="D621" s="148"/>
    </row>
    <row r="622" spans="4:4">
      <c r="D622" s="148"/>
    </row>
    <row r="623" spans="4:4">
      <c r="D623" s="148"/>
    </row>
    <row r="624" spans="4:4">
      <c r="D624" s="148"/>
    </row>
    <row r="625" spans="4:4">
      <c r="D625" s="148"/>
    </row>
    <row r="626" spans="4:4">
      <c r="D626" s="148"/>
    </row>
    <row r="627" spans="4:4">
      <c r="D627" s="148"/>
    </row>
    <row r="628" spans="4:4">
      <c r="D628" s="148"/>
    </row>
    <row r="629" spans="4:4">
      <c r="D629" s="148"/>
    </row>
    <row r="630" spans="4:4">
      <c r="D630" s="148"/>
    </row>
    <row r="631" spans="4:4">
      <c r="D631" s="148"/>
    </row>
    <row r="632" spans="4:4">
      <c r="D632" s="148"/>
    </row>
    <row r="633" spans="4:4">
      <c r="D633" s="148"/>
    </row>
    <row r="634" spans="4:4">
      <c r="D634" s="148"/>
    </row>
    <row r="635" spans="4:4">
      <c r="D635" s="148"/>
    </row>
    <row r="636" spans="4:4">
      <c r="D636" s="148"/>
    </row>
    <row r="637" spans="4:4">
      <c r="D637" s="148"/>
    </row>
    <row r="638" spans="4:4">
      <c r="D638" s="148"/>
    </row>
    <row r="639" spans="4:4">
      <c r="D639" s="148"/>
    </row>
    <row r="640" spans="4:4">
      <c r="D640" s="148"/>
    </row>
    <row r="641" spans="4:4">
      <c r="D641" s="148"/>
    </row>
    <row r="642" spans="4:4">
      <c r="D642" s="148"/>
    </row>
    <row r="643" spans="4:4">
      <c r="D643" s="148"/>
    </row>
    <row r="644" spans="4:4">
      <c r="D644" s="148"/>
    </row>
    <row r="645" spans="4:4">
      <c r="D645" s="148"/>
    </row>
    <row r="646" spans="4:4">
      <c r="D646" s="148"/>
    </row>
    <row r="647" spans="4:4">
      <c r="D647" s="148"/>
    </row>
    <row r="648" spans="4:4">
      <c r="D648" s="148"/>
    </row>
    <row r="649" spans="4:4">
      <c r="D649" s="148"/>
    </row>
    <row r="650" spans="4:4">
      <c r="D650" s="148"/>
    </row>
    <row r="651" spans="4:4">
      <c r="D651" s="148"/>
    </row>
    <row r="652" spans="4:4">
      <c r="D652" s="148"/>
    </row>
    <row r="653" spans="4:4">
      <c r="D653" s="148"/>
    </row>
    <row r="654" spans="4:4">
      <c r="D654" s="148"/>
    </row>
    <row r="655" spans="4:4">
      <c r="D655" s="148"/>
    </row>
    <row r="656" spans="4:4">
      <c r="D656" s="148"/>
    </row>
    <row r="657" spans="4:4">
      <c r="D657" s="148"/>
    </row>
    <row r="658" spans="4:4">
      <c r="D658" s="148"/>
    </row>
    <row r="659" spans="4:4">
      <c r="D659" s="148"/>
    </row>
    <row r="660" spans="4:4">
      <c r="D660" s="148"/>
    </row>
    <row r="661" spans="4:4">
      <c r="D661" s="148"/>
    </row>
    <row r="662" spans="4:4">
      <c r="D662" s="148"/>
    </row>
    <row r="663" spans="4:4">
      <c r="D663" s="148"/>
    </row>
    <row r="664" spans="4:4">
      <c r="D664" s="148"/>
    </row>
    <row r="665" spans="4:4">
      <c r="D665" s="148"/>
    </row>
    <row r="666" spans="4:4">
      <c r="D666" s="148"/>
    </row>
    <row r="667" spans="4:4">
      <c r="D667" s="148"/>
    </row>
    <row r="668" spans="4:4">
      <c r="D668" s="148"/>
    </row>
    <row r="669" spans="4:4">
      <c r="D669" s="148"/>
    </row>
    <row r="670" spans="4:4">
      <c r="D670" s="148"/>
    </row>
    <row r="671" spans="4:4">
      <c r="D671" s="148"/>
    </row>
    <row r="672" spans="4:4">
      <c r="D672" s="148"/>
    </row>
    <row r="673" spans="4:4">
      <c r="D673" s="148"/>
    </row>
    <row r="674" spans="4:4">
      <c r="D674" s="148"/>
    </row>
    <row r="675" spans="4:4">
      <c r="D675" s="148"/>
    </row>
    <row r="676" spans="4:4">
      <c r="D676" s="148"/>
    </row>
    <row r="677" spans="4:4">
      <c r="D677" s="148"/>
    </row>
    <row r="678" spans="4:4">
      <c r="D678" s="148"/>
    </row>
    <row r="679" spans="4:4">
      <c r="D679" s="148"/>
    </row>
    <row r="680" spans="4:4">
      <c r="D680" s="148"/>
    </row>
    <row r="681" spans="4:4">
      <c r="D681" s="148"/>
    </row>
    <row r="682" spans="4:4">
      <c r="D682" s="148"/>
    </row>
    <row r="683" spans="4:4">
      <c r="D683" s="148"/>
    </row>
    <row r="684" spans="4:4">
      <c r="D684" s="148"/>
    </row>
    <row r="685" spans="4:4">
      <c r="D685" s="148"/>
    </row>
    <row r="686" spans="4:4">
      <c r="D686" s="148"/>
    </row>
    <row r="687" spans="4:4">
      <c r="D687" s="148"/>
    </row>
    <row r="688" spans="4:4">
      <c r="D688" s="148"/>
    </row>
    <row r="689" spans="4:4">
      <c r="D689" s="148"/>
    </row>
    <row r="690" spans="4:4">
      <c r="D690" s="148"/>
    </row>
    <row r="691" spans="4:4">
      <c r="D691" s="148"/>
    </row>
    <row r="692" spans="4:4">
      <c r="D692" s="148"/>
    </row>
    <row r="693" spans="4:4">
      <c r="D693" s="148"/>
    </row>
    <row r="694" spans="4:4">
      <c r="D694" s="148"/>
    </row>
    <row r="695" spans="4:4">
      <c r="D695" s="148"/>
    </row>
    <row r="696" spans="4:4">
      <c r="D696" s="148"/>
    </row>
    <row r="697" spans="4:4">
      <c r="D697" s="148"/>
    </row>
    <row r="698" spans="4:4">
      <c r="D698" s="148"/>
    </row>
    <row r="699" spans="4:4">
      <c r="D699" s="148"/>
    </row>
    <row r="700" spans="4:4">
      <c r="D700" s="148"/>
    </row>
    <row r="701" spans="4:4">
      <c r="D701" s="148"/>
    </row>
    <row r="702" spans="4:4">
      <c r="D702" s="148"/>
    </row>
    <row r="703" spans="4:4">
      <c r="D703" s="148"/>
    </row>
    <row r="704" spans="4:4">
      <c r="D704" s="148"/>
    </row>
    <row r="705" spans="4:4">
      <c r="D705" s="148"/>
    </row>
    <row r="706" spans="4:4">
      <c r="D706" s="148"/>
    </row>
    <row r="707" spans="4:4">
      <c r="D707" s="148"/>
    </row>
    <row r="708" spans="4:4">
      <c r="D708" s="148"/>
    </row>
    <row r="709" spans="4:4">
      <c r="D709" s="148"/>
    </row>
    <row r="710" spans="4:4">
      <c r="D710" s="148"/>
    </row>
    <row r="711" spans="4:4">
      <c r="D711" s="148"/>
    </row>
    <row r="712" spans="4:4">
      <c r="D712" s="148"/>
    </row>
    <row r="713" spans="4:4">
      <c r="D713" s="148"/>
    </row>
    <row r="714" spans="4:4">
      <c r="D714" s="148"/>
    </row>
    <row r="715" spans="4:4">
      <c r="D715" s="148"/>
    </row>
    <row r="716" spans="4:4">
      <c r="D716" s="148"/>
    </row>
    <row r="717" spans="4:4">
      <c r="D717" s="148"/>
    </row>
    <row r="718" spans="4:4">
      <c r="D718" s="148"/>
    </row>
    <row r="719" spans="4:4">
      <c r="D719" s="148"/>
    </row>
    <row r="720" spans="4:4">
      <c r="D720" s="148"/>
    </row>
    <row r="721" spans="4:4">
      <c r="D721" s="148"/>
    </row>
    <row r="722" spans="4:4">
      <c r="D722" s="148"/>
    </row>
    <row r="723" spans="4:4">
      <c r="D723" s="148"/>
    </row>
    <row r="724" spans="4:4">
      <c r="D724" s="148"/>
    </row>
    <row r="725" spans="4:4">
      <c r="D725" s="148"/>
    </row>
    <row r="726" spans="4:4">
      <c r="D726" s="148"/>
    </row>
    <row r="727" spans="4:4">
      <c r="D727" s="148"/>
    </row>
    <row r="728" spans="4:4">
      <c r="D728" s="148"/>
    </row>
    <row r="729" spans="4:4">
      <c r="D729" s="148"/>
    </row>
    <row r="730" spans="4:4">
      <c r="D730" s="148"/>
    </row>
    <row r="731" spans="4:4">
      <c r="D731" s="148"/>
    </row>
    <row r="732" spans="4:4">
      <c r="D732" s="148"/>
    </row>
    <row r="733" spans="4:4">
      <c r="D733" s="148"/>
    </row>
    <row r="734" spans="4:4">
      <c r="D734" s="148"/>
    </row>
    <row r="735" spans="4:4">
      <c r="D735" s="148"/>
    </row>
    <row r="736" spans="4:4">
      <c r="D736" s="148"/>
    </row>
    <row r="737" spans="4:4">
      <c r="D737" s="148"/>
    </row>
    <row r="738" spans="4:4">
      <c r="D738" s="148"/>
    </row>
    <row r="739" spans="4:4">
      <c r="D739" s="148"/>
    </row>
    <row r="740" spans="4:4">
      <c r="D740" s="148"/>
    </row>
    <row r="741" spans="4:4">
      <c r="D741" s="148"/>
    </row>
    <row r="742" spans="4:4">
      <c r="D742" s="148"/>
    </row>
    <row r="743" spans="4:4">
      <c r="D743" s="148"/>
    </row>
    <row r="744" spans="4:4">
      <c r="D744" s="148"/>
    </row>
    <row r="745" spans="4:4">
      <c r="D745" s="148"/>
    </row>
    <row r="746" spans="4:4">
      <c r="D746" s="148"/>
    </row>
    <row r="747" spans="4:4">
      <c r="D747" s="148"/>
    </row>
    <row r="748" spans="4:4">
      <c r="D748" s="148"/>
    </row>
    <row r="749" spans="4:4">
      <c r="D749" s="148"/>
    </row>
    <row r="750" spans="4:4">
      <c r="D750" s="148"/>
    </row>
    <row r="751" spans="4:4">
      <c r="D751" s="148"/>
    </row>
    <row r="752" spans="4:4">
      <c r="D752" s="148"/>
    </row>
    <row r="753" spans="4:4">
      <c r="D753" s="148"/>
    </row>
    <row r="754" spans="4:4">
      <c r="D754" s="148"/>
    </row>
    <row r="755" spans="4:4">
      <c r="D755" s="148"/>
    </row>
    <row r="756" spans="4:4">
      <c r="D756" s="148"/>
    </row>
    <row r="757" spans="4:4">
      <c r="D757" s="148"/>
    </row>
    <row r="758" spans="4:4">
      <c r="D758" s="148"/>
    </row>
    <row r="759" spans="4:4">
      <c r="D759" s="148"/>
    </row>
    <row r="760" spans="4:4">
      <c r="D760" s="148"/>
    </row>
    <row r="761" spans="4:4">
      <c r="D761" s="148"/>
    </row>
    <row r="762" spans="4:4">
      <c r="D762" s="148"/>
    </row>
    <row r="763" spans="4:4">
      <c r="D763" s="148"/>
    </row>
    <row r="764" spans="4:4">
      <c r="D764" s="148"/>
    </row>
    <row r="765" spans="4:4">
      <c r="D765" s="148"/>
    </row>
    <row r="766" spans="4:4">
      <c r="D766" s="148"/>
    </row>
    <row r="767" spans="4:4">
      <c r="D767" s="148"/>
    </row>
    <row r="768" spans="4:4">
      <c r="D768" s="148"/>
    </row>
    <row r="769" spans="4:4">
      <c r="D769" s="148"/>
    </row>
    <row r="770" spans="4:4">
      <c r="D770" s="148"/>
    </row>
    <row r="771" spans="4:4">
      <c r="D771" s="148"/>
    </row>
    <row r="772" spans="4:4">
      <c r="D772" s="148"/>
    </row>
    <row r="773" spans="4:4">
      <c r="D773" s="148"/>
    </row>
    <row r="774" spans="4:4">
      <c r="D774" s="148"/>
    </row>
    <row r="775" spans="4:4">
      <c r="D775" s="148"/>
    </row>
    <row r="776" spans="4:4">
      <c r="D776" s="148"/>
    </row>
    <row r="777" spans="4:4">
      <c r="D777" s="148"/>
    </row>
    <row r="778" spans="4:4">
      <c r="D778" s="148"/>
    </row>
    <row r="779" spans="4:4">
      <c r="D779" s="148"/>
    </row>
    <row r="780" spans="4:4">
      <c r="D780" s="148"/>
    </row>
    <row r="781" spans="4:4">
      <c r="D781" s="148"/>
    </row>
    <row r="782" spans="4:4">
      <c r="D782" s="148"/>
    </row>
    <row r="783" spans="4:4">
      <c r="D783" s="148"/>
    </row>
    <row r="784" spans="4:4">
      <c r="D784" s="148"/>
    </row>
    <row r="785" spans="4:4">
      <c r="D785" s="148"/>
    </row>
    <row r="786" spans="4:4">
      <c r="D786" s="148"/>
    </row>
    <row r="787" spans="4:4">
      <c r="D787" s="148"/>
    </row>
    <row r="788" spans="4:4">
      <c r="D788" s="148"/>
    </row>
    <row r="789" spans="4:4">
      <c r="D789" s="148"/>
    </row>
    <row r="790" spans="4:4">
      <c r="D790" s="148"/>
    </row>
    <row r="791" spans="4:4">
      <c r="D791" s="148"/>
    </row>
    <row r="792" spans="4:4">
      <c r="D792" s="148"/>
    </row>
    <row r="793" spans="4:4">
      <c r="D793" s="148"/>
    </row>
    <row r="794" spans="4:4">
      <c r="D794" s="148"/>
    </row>
    <row r="795" spans="4:4">
      <c r="D795" s="148"/>
    </row>
    <row r="796" spans="4:4">
      <c r="D796" s="148"/>
    </row>
    <row r="797" spans="4:4">
      <c r="D797" s="148"/>
    </row>
    <row r="798" spans="4:4">
      <c r="D798" s="148"/>
    </row>
    <row r="799" spans="4:4">
      <c r="D799" s="148"/>
    </row>
    <row r="800" spans="4:4">
      <c r="D800" s="148"/>
    </row>
    <row r="801" spans="4:4">
      <c r="D801" s="148"/>
    </row>
    <row r="802" spans="4:4">
      <c r="D802" s="148"/>
    </row>
    <row r="803" spans="4:4">
      <c r="D803" s="148"/>
    </row>
    <row r="804" spans="4:4">
      <c r="D804" s="148"/>
    </row>
    <row r="805" spans="4:4">
      <c r="D805" s="148"/>
    </row>
    <row r="806" spans="4:4">
      <c r="D806" s="148"/>
    </row>
    <row r="807" spans="4:4">
      <c r="D807" s="148"/>
    </row>
    <row r="808" spans="4:4">
      <c r="D808" s="148"/>
    </row>
    <row r="809" spans="4:4">
      <c r="D809" s="148"/>
    </row>
    <row r="810" spans="4:4">
      <c r="D810" s="148"/>
    </row>
    <row r="811" spans="4:4">
      <c r="D811" s="148"/>
    </row>
    <row r="812" spans="4:4">
      <c r="D812" s="148"/>
    </row>
    <row r="813" spans="4:4">
      <c r="D813" s="148"/>
    </row>
    <row r="814" spans="4:4">
      <c r="D814" s="148"/>
    </row>
    <row r="815" spans="4:4">
      <c r="D815" s="148"/>
    </row>
    <row r="816" spans="4:4">
      <c r="D816" s="148"/>
    </row>
    <row r="817" spans="4:4">
      <c r="D817" s="148"/>
    </row>
    <row r="818" spans="4:4">
      <c r="D818" s="148"/>
    </row>
    <row r="819" spans="4:4">
      <c r="D819" s="148"/>
    </row>
    <row r="820" spans="4:4">
      <c r="D820" s="148"/>
    </row>
    <row r="821" spans="4:4">
      <c r="D821" s="148"/>
    </row>
    <row r="822" spans="4:4">
      <c r="D822" s="148"/>
    </row>
    <row r="823" spans="4:4">
      <c r="D823" s="148"/>
    </row>
    <row r="824" spans="4:4">
      <c r="D824" s="148"/>
    </row>
    <row r="825" spans="4:4">
      <c r="D825" s="148"/>
    </row>
    <row r="826" spans="4:4">
      <c r="D826" s="148"/>
    </row>
    <row r="827" spans="4:4">
      <c r="D827" s="148"/>
    </row>
    <row r="828" spans="4:4">
      <c r="D828" s="148"/>
    </row>
    <row r="829" spans="4:4">
      <c r="D829" s="148"/>
    </row>
    <row r="830" spans="4:4">
      <c r="D830" s="148"/>
    </row>
    <row r="831" spans="4:4">
      <c r="D831" s="148"/>
    </row>
    <row r="832" spans="4:4">
      <c r="D832" s="148"/>
    </row>
    <row r="833" spans="4:4">
      <c r="D833" s="148"/>
    </row>
    <row r="834" spans="4:4">
      <c r="D834" s="148"/>
    </row>
    <row r="835" spans="4:4">
      <c r="D835" s="148"/>
    </row>
    <row r="836" spans="4:4">
      <c r="D836" s="148"/>
    </row>
    <row r="837" spans="4:4">
      <c r="D837" s="148"/>
    </row>
    <row r="838" spans="4:4">
      <c r="D838" s="148"/>
    </row>
    <row r="839" spans="4:4">
      <c r="D839" s="148"/>
    </row>
    <row r="840" spans="4:4">
      <c r="D840" s="148"/>
    </row>
    <row r="841" spans="4:4">
      <c r="D841" s="148"/>
    </row>
    <row r="842" spans="4:4">
      <c r="D842" s="148"/>
    </row>
    <row r="843" spans="4:4">
      <c r="D843" s="148"/>
    </row>
    <row r="844" spans="4:4">
      <c r="D844" s="148"/>
    </row>
    <row r="845" spans="4:4">
      <c r="D845" s="148"/>
    </row>
    <row r="846" spans="4:4">
      <c r="D846" s="148"/>
    </row>
    <row r="847" spans="4:4">
      <c r="D847" s="148"/>
    </row>
    <row r="848" spans="4:4">
      <c r="D848" s="148"/>
    </row>
    <row r="849" spans="4:4">
      <c r="D849" s="148"/>
    </row>
    <row r="850" spans="4:4">
      <c r="D850" s="148"/>
    </row>
    <row r="851" spans="4:4">
      <c r="D851" s="148"/>
    </row>
    <row r="852" spans="4:4">
      <c r="D852" s="148"/>
    </row>
    <row r="853" spans="4:4">
      <c r="D853" s="148"/>
    </row>
    <row r="854" spans="4:4">
      <c r="D854" s="148"/>
    </row>
    <row r="855" spans="4:4">
      <c r="D855" s="148"/>
    </row>
    <row r="856" spans="4:4">
      <c r="D856" s="148"/>
    </row>
    <row r="857" spans="4:4">
      <c r="D857" s="148"/>
    </row>
    <row r="858" spans="4:4">
      <c r="D858" s="148"/>
    </row>
    <row r="859" spans="4:4">
      <c r="D859" s="148"/>
    </row>
    <row r="860" spans="4:4">
      <c r="D860" s="148"/>
    </row>
    <row r="861" spans="4:4">
      <c r="D861" s="148"/>
    </row>
    <row r="862" spans="4:4">
      <c r="D862" s="148"/>
    </row>
    <row r="863" spans="4:4">
      <c r="D863" s="148"/>
    </row>
    <row r="864" spans="4:4">
      <c r="D864" s="148"/>
    </row>
    <row r="865" spans="4:4">
      <c r="D865" s="148"/>
    </row>
    <row r="866" spans="4:4">
      <c r="D866" s="148"/>
    </row>
    <row r="867" spans="4:4">
      <c r="D867" s="148"/>
    </row>
    <row r="868" spans="4:4">
      <c r="D868" s="148"/>
    </row>
    <row r="869" spans="4:4">
      <c r="D869" s="148"/>
    </row>
    <row r="870" spans="4:4">
      <c r="D870" s="148"/>
    </row>
    <row r="871" spans="4:4">
      <c r="D871" s="148"/>
    </row>
    <row r="872" spans="4:4">
      <c r="D872" s="148"/>
    </row>
    <row r="873" spans="4:4">
      <c r="D873" s="148"/>
    </row>
    <row r="874" spans="4:4">
      <c r="D874" s="148"/>
    </row>
    <row r="875" spans="4:4">
      <c r="D875" s="148"/>
    </row>
    <row r="876" spans="4:4">
      <c r="D876" s="148"/>
    </row>
    <row r="877" spans="4:4">
      <c r="D877" s="148"/>
    </row>
    <row r="878" spans="4:4">
      <c r="D878" s="148"/>
    </row>
    <row r="879" spans="4:4">
      <c r="D879" s="148"/>
    </row>
    <row r="880" spans="4:4">
      <c r="D880" s="148"/>
    </row>
    <row r="881" spans="4:4">
      <c r="D881" s="148"/>
    </row>
    <row r="882" spans="4:4">
      <c r="D882" s="148"/>
    </row>
    <row r="883" spans="4:4">
      <c r="D883" s="148"/>
    </row>
    <row r="884" spans="4:4">
      <c r="D884" s="148"/>
    </row>
    <row r="885" spans="4:4">
      <c r="D885" s="148"/>
    </row>
    <row r="886" spans="4:4">
      <c r="D886" s="148"/>
    </row>
    <row r="887" spans="4:4">
      <c r="D887" s="148"/>
    </row>
    <row r="888" spans="4:4">
      <c r="D888" s="148"/>
    </row>
    <row r="889" spans="4:4">
      <c r="D889" s="148"/>
    </row>
    <row r="890" spans="4:4">
      <c r="D890" s="148"/>
    </row>
    <row r="891" spans="4:4">
      <c r="D891" s="148"/>
    </row>
    <row r="892" spans="4:4">
      <c r="D892" s="148"/>
    </row>
    <row r="893" spans="4:4">
      <c r="D893" s="148"/>
    </row>
    <row r="894" spans="4:4">
      <c r="D894" s="148"/>
    </row>
    <row r="895" spans="4:4">
      <c r="D895" s="148"/>
    </row>
    <row r="896" spans="4:4">
      <c r="D896" s="148"/>
    </row>
    <row r="897" spans="4:4">
      <c r="D897" s="148"/>
    </row>
    <row r="898" spans="4:4">
      <c r="D898" s="148"/>
    </row>
    <row r="899" spans="4:4">
      <c r="D899" s="148"/>
    </row>
    <row r="900" spans="4:4">
      <c r="D900" s="148"/>
    </row>
    <row r="901" spans="4:4">
      <c r="D901" s="148"/>
    </row>
    <row r="902" spans="4:4">
      <c r="D902" s="148"/>
    </row>
    <row r="903" spans="4:4">
      <c r="D903" s="148"/>
    </row>
    <row r="904" spans="4:4">
      <c r="D904" s="148"/>
    </row>
    <row r="905" spans="4:4">
      <c r="D905" s="148"/>
    </row>
    <row r="906" spans="4:4">
      <c r="D906" s="148"/>
    </row>
    <row r="907" spans="4:4">
      <c r="D907" s="148"/>
    </row>
    <row r="908" spans="4:4">
      <c r="D908" s="148"/>
    </row>
    <row r="909" spans="4:4">
      <c r="D909" s="148"/>
    </row>
    <row r="910" spans="4:4">
      <c r="D910" s="148"/>
    </row>
    <row r="911" spans="4:4">
      <c r="D911" s="148"/>
    </row>
    <row r="912" spans="4:4">
      <c r="D912" s="148"/>
    </row>
    <row r="913" spans="4:4">
      <c r="D913" s="148"/>
    </row>
    <row r="914" spans="4:4">
      <c r="D914" s="148"/>
    </row>
    <row r="915" spans="4:4">
      <c r="D915" s="148"/>
    </row>
    <row r="916" spans="4:4">
      <c r="D916" s="148"/>
    </row>
    <row r="917" spans="4:4">
      <c r="D917" s="148"/>
    </row>
    <row r="918" spans="4:4">
      <c r="D918" s="148"/>
    </row>
    <row r="919" spans="4:4">
      <c r="D919" s="148"/>
    </row>
    <row r="920" spans="4:4">
      <c r="D920" s="148"/>
    </row>
    <row r="921" spans="4:4">
      <c r="D921" s="148"/>
    </row>
    <row r="922" spans="4:4">
      <c r="D922" s="148"/>
    </row>
    <row r="923" spans="4:4">
      <c r="D923" s="148"/>
    </row>
    <row r="924" spans="4:4">
      <c r="D924" s="148"/>
    </row>
    <row r="925" spans="4:4">
      <c r="D925" s="148"/>
    </row>
    <row r="926" spans="4:4">
      <c r="D926" s="148"/>
    </row>
    <row r="927" spans="4:4">
      <c r="D927" s="148"/>
    </row>
    <row r="928" spans="4:4">
      <c r="D928" s="148"/>
    </row>
    <row r="929" spans="4:4">
      <c r="D929" s="148"/>
    </row>
    <row r="930" spans="4:4">
      <c r="D930" s="148"/>
    </row>
    <row r="931" spans="4:4">
      <c r="D931" s="148"/>
    </row>
    <row r="932" spans="4:4">
      <c r="D932" s="148"/>
    </row>
    <row r="933" spans="4:4">
      <c r="D933" s="148"/>
    </row>
    <row r="934" spans="4:4">
      <c r="D934" s="148"/>
    </row>
    <row r="935" spans="4:4">
      <c r="D935" s="148"/>
    </row>
    <row r="936" spans="4:4">
      <c r="D936" s="148"/>
    </row>
    <row r="937" spans="4:4">
      <c r="D937" s="148"/>
    </row>
    <row r="938" spans="4:4">
      <c r="D938" s="148"/>
    </row>
    <row r="939" spans="4:4">
      <c r="D939" s="148"/>
    </row>
    <row r="940" spans="4:4">
      <c r="D940" s="148"/>
    </row>
    <row r="941" spans="4:4">
      <c r="D941" s="148"/>
    </row>
    <row r="942" spans="4:4">
      <c r="D942" s="148"/>
    </row>
    <row r="943" spans="4:4">
      <c r="D943" s="148"/>
    </row>
    <row r="944" spans="4:4">
      <c r="D944" s="148"/>
    </row>
    <row r="945" spans="4:4">
      <c r="D945" s="148"/>
    </row>
    <row r="946" spans="4:4">
      <c r="D946" s="148"/>
    </row>
    <row r="947" spans="4:4">
      <c r="D947" s="148"/>
    </row>
    <row r="948" spans="4:4">
      <c r="D948" s="148"/>
    </row>
    <row r="949" spans="4:4">
      <c r="D949" s="148"/>
    </row>
    <row r="950" spans="4:4">
      <c r="D950" s="148"/>
    </row>
    <row r="951" spans="4:4">
      <c r="D951" s="148"/>
    </row>
    <row r="952" spans="4:4">
      <c r="D952" s="148"/>
    </row>
    <row r="953" spans="4:4">
      <c r="D953" s="148"/>
    </row>
    <row r="954" spans="4:4">
      <c r="D954" s="148"/>
    </row>
    <row r="955" spans="4:4">
      <c r="D955" s="148"/>
    </row>
    <row r="956" spans="4:4">
      <c r="D956" s="148"/>
    </row>
    <row r="957" spans="4:4">
      <c r="D957" s="148"/>
    </row>
    <row r="958" spans="4:4">
      <c r="D958" s="148"/>
    </row>
    <row r="959" spans="4:4">
      <c r="D959" s="148"/>
    </row>
    <row r="960" spans="4:4">
      <c r="D960" s="148"/>
    </row>
    <row r="961" spans="4:4">
      <c r="D961" s="148"/>
    </row>
    <row r="962" spans="4:4">
      <c r="D962" s="148"/>
    </row>
    <row r="963" spans="4:4">
      <c r="D963" s="148"/>
    </row>
    <row r="964" spans="4:4">
      <c r="D964" s="148"/>
    </row>
    <row r="965" spans="4:4">
      <c r="D965" s="148"/>
    </row>
    <row r="966" spans="4:4">
      <c r="D966" s="148"/>
    </row>
    <row r="967" spans="4:4">
      <c r="D967" s="148"/>
    </row>
    <row r="968" spans="4:4">
      <c r="D968" s="148"/>
    </row>
    <row r="969" spans="4:4">
      <c r="D969" s="148"/>
    </row>
    <row r="970" spans="4:4">
      <c r="D970" s="148"/>
    </row>
    <row r="971" spans="4:4">
      <c r="D971" s="148"/>
    </row>
    <row r="972" spans="4:4">
      <c r="D972" s="148"/>
    </row>
    <row r="973" spans="4:4">
      <c r="D973" s="148"/>
    </row>
    <row r="974" spans="4:4">
      <c r="D974" s="148"/>
    </row>
    <row r="975" spans="4:4">
      <c r="D975" s="148"/>
    </row>
    <row r="976" spans="4:4">
      <c r="D976" s="148"/>
    </row>
    <row r="977" spans="4:4">
      <c r="D977" s="148"/>
    </row>
    <row r="978" spans="4:4">
      <c r="D978" s="148"/>
    </row>
    <row r="979" spans="4:4">
      <c r="D979" s="148"/>
    </row>
    <row r="980" spans="4:4">
      <c r="D980" s="148"/>
    </row>
    <row r="981" spans="4:4">
      <c r="D981" s="148"/>
    </row>
    <row r="982" spans="4:4">
      <c r="D982" s="148"/>
    </row>
    <row r="983" spans="4:4">
      <c r="D983" s="148"/>
    </row>
    <row r="984" spans="4:4">
      <c r="D984" s="148"/>
    </row>
    <row r="985" spans="4:4">
      <c r="D985" s="148"/>
    </row>
    <row r="986" spans="4:4">
      <c r="D986" s="148"/>
    </row>
    <row r="987" spans="4:4">
      <c r="D987" s="148"/>
    </row>
    <row r="988" spans="4:4">
      <c r="D988" s="148"/>
    </row>
    <row r="989" spans="4:4">
      <c r="D989" s="148"/>
    </row>
    <row r="990" spans="4:4">
      <c r="D990" s="148"/>
    </row>
    <row r="991" spans="4:4">
      <c r="D991" s="148"/>
    </row>
    <row r="992" spans="4:4">
      <c r="D992" s="148"/>
    </row>
    <row r="993" spans="4:4">
      <c r="D993" s="148"/>
    </row>
    <row r="994" spans="4:4">
      <c r="D994" s="148"/>
    </row>
    <row r="995" spans="4:4">
      <c r="D995" s="148"/>
    </row>
    <row r="996" spans="4:4">
      <c r="D996" s="148"/>
    </row>
    <row r="997" spans="4:4">
      <c r="D997" s="148"/>
    </row>
    <row r="998" spans="4:4">
      <c r="D998" s="148"/>
    </row>
    <row r="999" spans="4:4">
      <c r="D999" s="148"/>
    </row>
    <row r="1000" spans="4:4">
      <c r="D1000" s="148"/>
    </row>
    <row r="1001" spans="4:4">
      <c r="D1001" s="148"/>
    </row>
    <row r="1002" spans="4:4">
      <c r="D1002" s="148"/>
    </row>
    <row r="1003" spans="4:4">
      <c r="D1003" s="148"/>
    </row>
    <row r="1004" spans="4:4">
      <c r="D1004" s="148"/>
    </row>
    <row r="1005" spans="4:4">
      <c r="D1005" s="148"/>
    </row>
    <row r="1006" spans="4:4">
      <c r="D1006" s="148"/>
    </row>
    <row r="1007" spans="4:4">
      <c r="D1007" s="148"/>
    </row>
    <row r="1008" spans="4:4">
      <c r="D1008" s="148"/>
    </row>
    <row r="1009" spans="4:4">
      <c r="D1009" s="148"/>
    </row>
    <row r="1010" spans="4:4">
      <c r="D1010" s="148"/>
    </row>
    <row r="1011" spans="4:4">
      <c r="D1011" s="148"/>
    </row>
    <row r="1012" spans="4:4">
      <c r="D1012" s="148"/>
    </row>
    <row r="1013" spans="4:4">
      <c r="D1013" s="148"/>
    </row>
    <row r="1014" spans="4:4">
      <c r="D1014" s="148"/>
    </row>
    <row r="1015" spans="4:4">
      <c r="D1015" s="148"/>
    </row>
    <row r="1016" spans="4:4">
      <c r="D1016" s="148"/>
    </row>
    <row r="1017" spans="4:4">
      <c r="D1017" s="148"/>
    </row>
    <row r="1018" spans="4:4">
      <c r="D1018" s="148"/>
    </row>
    <row r="1019" spans="4:4">
      <c r="D1019" s="148"/>
    </row>
    <row r="1020" spans="4:4">
      <c r="D1020" s="148"/>
    </row>
    <row r="1021" spans="4:4">
      <c r="D1021" s="148"/>
    </row>
    <row r="1022" spans="4:4">
      <c r="D1022" s="148"/>
    </row>
    <row r="1023" spans="4:4">
      <c r="D1023" s="148"/>
    </row>
    <row r="1024" spans="4:4">
      <c r="D1024" s="148"/>
    </row>
    <row r="1025" spans="4:4">
      <c r="D1025" s="148"/>
    </row>
    <row r="1026" spans="4:4">
      <c r="D1026" s="148"/>
    </row>
    <row r="1027" spans="4:4">
      <c r="D1027" s="148"/>
    </row>
    <row r="1028" spans="4:4">
      <c r="D1028" s="148"/>
    </row>
    <row r="1029" spans="4:4">
      <c r="D1029" s="148"/>
    </row>
    <row r="1030" spans="4:4">
      <c r="D1030" s="148"/>
    </row>
    <row r="1031" spans="4:4">
      <c r="D1031" s="148"/>
    </row>
    <row r="1032" spans="4:4">
      <c r="D1032" s="148"/>
    </row>
    <row r="1033" spans="4:4">
      <c r="D1033" s="148"/>
    </row>
    <row r="1034" spans="4:4">
      <c r="D1034" s="148"/>
    </row>
    <row r="1035" spans="4:4">
      <c r="D1035" s="148"/>
    </row>
    <row r="1036" spans="4:4">
      <c r="D1036" s="148"/>
    </row>
    <row r="1037" spans="4:4">
      <c r="D1037" s="148"/>
    </row>
    <row r="1038" spans="4:4">
      <c r="D1038" s="148"/>
    </row>
    <row r="1039" spans="4:4">
      <c r="D1039" s="148"/>
    </row>
    <row r="1040" spans="4:4">
      <c r="D1040" s="148"/>
    </row>
    <row r="1041" spans="4:4">
      <c r="D1041" s="148"/>
    </row>
    <row r="1042" spans="4:4">
      <c r="D1042" s="148"/>
    </row>
    <row r="1043" spans="4:4">
      <c r="D1043" s="148"/>
    </row>
    <row r="1044" spans="4:4">
      <c r="D1044" s="148"/>
    </row>
    <row r="1045" spans="4:4">
      <c r="D1045" s="148"/>
    </row>
    <row r="1046" spans="4:4">
      <c r="D1046" s="148"/>
    </row>
    <row r="1047" spans="4:4">
      <c r="D1047" s="148"/>
    </row>
    <row r="1048" spans="4:4">
      <c r="D1048" s="148"/>
    </row>
    <row r="1049" spans="4:4">
      <c r="D1049" s="148"/>
    </row>
    <row r="1050" spans="4:4">
      <c r="D1050" s="148"/>
    </row>
    <row r="1051" spans="4:4">
      <c r="D1051" s="148"/>
    </row>
    <row r="1052" spans="4:4">
      <c r="D1052" s="148"/>
    </row>
    <row r="1053" spans="4:4">
      <c r="D1053" s="148"/>
    </row>
    <row r="1054" spans="4:4">
      <c r="D1054" s="148"/>
    </row>
    <row r="1055" spans="4:4">
      <c r="D1055" s="148"/>
    </row>
    <row r="1056" spans="4:4">
      <c r="D1056" s="148"/>
    </row>
    <row r="1057" spans="4:4">
      <c r="D1057" s="148"/>
    </row>
    <row r="1058" spans="4:4">
      <c r="D1058" s="148"/>
    </row>
    <row r="1059" spans="4:4">
      <c r="D1059" s="148"/>
    </row>
    <row r="1060" spans="4:4">
      <c r="D1060" s="148"/>
    </row>
    <row r="1061" spans="4:4">
      <c r="D1061" s="148"/>
    </row>
    <row r="1062" spans="4:4">
      <c r="D1062" s="148"/>
    </row>
    <row r="1063" spans="4:4">
      <c r="D1063" s="148"/>
    </row>
    <row r="1064" spans="4:4">
      <c r="D1064" s="148"/>
    </row>
    <row r="1065" spans="4:4">
      <c r="D1065" s="148"/>
    </row>
    <row r="1066" spans="4:4">
      <c r="D1066" s="148"/>
    </row>
    <row r="1067" spans="4:4">
      <c r="D1067" s="148"/>
    </row>
    <row r="1068" spans="4:4">
      <c r="D1068" s="148"/>
    </row>
    <row r="1069" spans="4:4">
      <c r="D1069" s="148"/>
    </row>
    <row r="1070" spans="4:4">
      <c r="D1070" s="148"/>
    </row>
    <row r="1071" spans="4:4">
      <c r="D1071" s="148"/>
    </row>
    <row r="1072" spans="4:4">
      <c r="D1072" s="148"/>
    </row>
    <row r="1073" spans="4:4">
      <c r="D1073" s="148"/>
    </row>
    <row r="1074" spans="4:4">
      <c r="D1074" s="148"/>
    </row>
    <row r="1075" spans="4:4">
      <c r="D1075" s="148"/>
    </row>
    <row r="1076" spans="4:4">
      <c r="D1076" s="148"/>
    </row>
    <row r="1077" spans="4:4">
      <c r="D1077" s="148"/>
    </row>
    <row r="1078" spans="4:4">
      <c r="D1078" s="148"/>
    </row>
    <row r="1079" spans="4:4">
      <c r="D1079" s="148"/>
    </row>
    <row r="1080" spans="4:4">
      <c r="D1080" s="148"/>
    </row>
    <row r="1081" spans="4:4">
      <c r="D1081" s="148"/>
    </row>
    <row r="1082" spans="4:4">
      <c r="D1082" s="148"/>
    </row>
    <row r="1083" spans="4:4">
      <c r="D1083" s="148"/>
    </row>
    <row r="1084" spans="4:4">
      <c r="D1084" s="148"/>
    </row>
    <row r="1085" spans="4:4">
      <c r="D1085" s="148"/>
    </row>
    <row r="1086" spans="4:4">
      <c r="D1086" s="148"/>
    </row>
    <row r="1087" spans="4:4">
      <c r="D1087" s="148"/>
    </row>
    <row r="1088" spans="4:4">
      <c r="D1088" s="148"/>
    </row>
    <row r="1089" spans="4:4">
      <c r="D1089" s="148"/>
    </row>
    <row r="1090" spans="4:4">
      <c r="D1090" s="148"/>
    </row>
    <row r="1091" spans="4:4">
      <c r="D1091" s="148"/>
    </row>
    <row r="1092" spans="4:4">
      <c r="D1092" s="148"/>
    </row>
    <row r="1093" spans="4:4">
      <c r="D1093" s="148"/>
    </row>
    <row r="1094" spans="4:4">
      <c r="D1094" s="148"/>
    </row>
    <row r="1095" spans="4:4">
      <c r="D1095" s="148"/>
    </row>
    <row r="1096" spans="4:4">
      <c r="D1096" s="148"/>
    </row>
    <row r="1097" spans="4:4">
      <c r="D1097" s="148"/>
    </row>
    <row r="1098" spans="4:4">
      <c r="D1098" s="148"/>
    </row>
    <row r="1099" spans="4:4">
      <c r="D1099" s="148"/>
    </row>
    <row r="1100" spans="4:4">
      <c r="D1100" s="148"/>
    </row>
    <row r="1101" spans="4:4">
      <c r="D1101" s="148"/>
    </row>
    <row r="1102" spans="4:4">
      <c r="D1102" s="148"/>
    </row>
    <row r="1103" spans="4:4">
      <c r="D1103" s="148"/>
    </row>
    <row r="1104" spans="4:4">
      <c r="D1104" s="148"/>
    </row>
    <row r="1105" spans="4:4">
      <c r="D1105" s="148"/>
    </row>
    <row r="1106" spans="4:4">
      <c r="D1106" s="148"/>
    </row>
    <row r="1107" spans="4:4">
      <c r="D1107" s="148"/>
    </row>
    <row r="1108" spans="4:4">
      <c r="D1108" s="148"/>
    </row>
    <row r="1109" spans="4:4">
      <c r="D1109" s="148"/>
    </row>
    <row r="1110" spans="4:4">
      <c r="D1110" s="148"/>
    </row>
    <row r="1111" spans="4:4">
      <c r="D1111" s="148"/>
    </row>
    <row r="1112" spans="4:4">
      <c r="D1112" s="148"/>
    </row>
    <row r="1113" spans="4:4">
      <c r="D1113" s="148"/>
    </row>
    <row r="1114" spans="4:4">
      <c r="D1114" s="148"/>
    </row>
    <row r="1115" spans="4:4">
      <c r="D1115" s="148"/>
    </row>
    <row r="1116" spans="4:4">
      <c r="D1116" s="148"/>
    </row>
    <row r="1117" spans="4:4">
      <c r="D1117" s="148"/>
    </row>
    <row r="1118" spans="4:4">
      <c r="D1118" s="148"/>
    </row>
    <row r="1119" spans="4:4">
      <c r="D1119" s="148"/>
    </row>
    <row r="1120" spans="4:4">
      <c r="D1120" s="148"/>
    </row>
    <row r="1121" spans="4:4">
      <c r="D1121" s="148"/>
    </row>
    <row r="1122" spans="4:4">
      <c r="D1122" s="148"/>
    </row>
    <row r="1123" spans="4:4">
      <c r="D1123" s="148"/>
    </row>
    <row r="1124" spans="4:4">
      <c r="D1124" s="148"/>
    </row>
    <row r="1125" spans="4:4">
      <c r="D1125" s="148"/>
    </row>
    <row r="1126" spans="4:4">
      <c r="D1126" s="148"/>
    </row>
    <row r="1127" spans="4:4">
      <c r="D1127" s="148"/>
    </row>
    <row r="1128" spans="4:4">
      <c r="D1128" s="148"/>
    </row>
    <row r="1129" spans="4:4">
      <c r="D1129" s="148"/>
    </row>
    <row r="1130" spans="4:4">
      <c r="D1130" s="148"/>
    </row>
    <row r="1131" spans="4:4">
      <c r="D1131" s="148"/>
    </row>
    <row r="1132" spans="4:4">
      <c r="D1132" s="148"/>
    </row>
    <row r="1133" spans="4:4">
      <c r="D1133" s="148"/>
    </row>
    <row r="1134" spans="4:4">
      <c r="D1134" s="148"/>
    </row>
    <row r="1135" spans="4:4">
      <c r="D1135" s="148"/>
    </row>
    <row r="1136" spans="4:4">
      <c r="D1136" s="148"/>
    </row>
    <row r="1137" spans="4:4">
      <c r="D1137" s="148"/>
    </row>
    <row r="1138" spans="4:4">
      <c r="D1138" s="148"/>
    </row>
    <row r="1139" spans="4:4">
      <c r="D1139" s="148"/>
    </row>
    <row r="1140" spans="4:4">
      <c r="D1140" s="148"/>
    </row>
    <row r="1141" spans="4:4">
      <c r="D1141" s="148"/>
    </row>
    <row r="1142" spans="4:4">
      <c r="D1142" s="148"/>
    </row>
    <row r="1143" spans="4:4">
      <c r="D1143" s="148"/>
    </row>
    <row r="1144" spans="4:4">
      <c r="D1144" s="148"/>
    </row>
    <row r="1145" spans="4:4">
      <c r="D1145" s="148"/>
    </row>
    <row r="1146" spans="4:4">
      <c r="D1146" s="148"/>
    </row>
    <row r="1147" spans="4:4">
      <c r="D1147" s="148"/>
    </row>
    <row r="1148" spans="4:4">
      <c r="D1148" s="148"/>
    </row>
    <row r="1149" spans="4:4">
      <c r="D1149" s="148"/>
    </row>
    <row r="1150" spans="4:4">
      <c r="D1150" s="148"/>
    </row>
    <row r="1151" spans="4:4">
      <c r="D1151" s="148"/>
    </row>
    <row r="1152" spans="4:4">
      <c r="D1152" s="148"/>
    </row>
    <row r="1153" spans="4:4">
      <c r="D1153" s="148"/>
    </row>
    <row r="1154" spans="4:4">
      <c r="D1154" s="148"/>
    </row>
    <row r="1155" spans="4:4">
      <c r="D1155" s="148"/>
    </row>
    <row r="1156" spans="4:4">
      <c r="D1156" s="148"/>
    </row>
    <row r="1157" spans="4:4">
      <c r="D1157" s="148"/>
    </row>
    <row r="1158" spans="4:4">
      <c r="D1158" s="148"/>
    </row>
    <row r="1159" spans="4:4">
      <c r="D1159" s="148"/>
    </row>
    <row r="1160" spans="4:4">
      <c r="D1160" s="148"/>
    </row>
    <row r="1161" spans="4:4">
      <c r="D1161" s="148"/>
    </row>
    <row r="1162" spans="4:4">
      <c r="D1162" s="148"/>
    </row>
    <row r="1163" spans="4:4">
      <c r="D1163" s="148"/>
    </row>
    <row r="1164" spans="4:4">
      <c r="D1164" s="148"/>
    </row>
    <row r="1165" spans="4:4">
      <c r="D1165" s="148"/>
    </row>
    <row r="1166" spans="4:4">
      <c r="D1166" s="148"/>
    </row>
    <row r="1167" spans="4:4">
      <c r="D1167" s="148"/>
    </row>
    <row r="1168" spans="4:4">
      <c r="D1168" s="148"/>
    </row>
    <row r="1169" spans="4:4">
      <c r="D1169" s="148"/>
    </row>
    <row r="1170" spans="4:4">
      <c r="D1170" s="148"/>
    </row>
    <row r="1171" spans="4:4">
      <c r="D1171" s="148"/>
    </row>
    <row r="1172" spans="4:4">
      <c r="D1172" s="148"/>
    </row>
    <row r="1173" spans="4:4">
      <c r="D1173" s="148"/>
    </row>
    <row r="1174" spans="4:4">
      <c r="D1174" s="148"/>
    </row>
    <row r="1175" spans="4:4">
      <c r="D1175" s="148"/>
    </row>
    <row r="1176" spans="4:4">
      <c r="D1176" s="148"/>
    </row>
    <row r="1177" spans="4:4">
      <c r="D1177" s="148"/>
    </row>
    <row r="1178" spans="4:4">
      <c r="D1178" s="148"/>
    </row>
    <row r="1179" spans="4:4">
      <c r="D1179" s="148"/>
    </row>
    <row r="1180" spans="4:4">
      <c r="D1180" s="148"/>
    </row>
    <row r="1181" spans="4:4">
      <c r="D1181" s="148"/>
    </row>
    <row r="1182" spans="4:4">
      <c r="D1182" s="148"/>
    </row>
    <row r="1183" spans="4:4">
      <c r="D1183" s="148"/>
    </row>
    <row r="1184" spans="4:4">
      <c r="D1184" s="148"/>
    </row>
    <row r="1185" spans="4:4">
      <c r="D1185" s="148"/>
    </row>
    <row r="1186" spans="4:4">
      <c r="D1186" s="148"/>
    </row>
    <row r="1187" spans="4:4">
      <c r="D1187" s="148"/>
    </row>
    <row r="1188" spans="4:4">
      <c r="D1188" s="148"/>
    </row>
    <row r="1189" spans="4:4">
      <c r="D1189" s="148"/>
    </row>
    <row r="1190" spans="4:4">
      <c r="D1190" s="148"/>
    </row>
    <row r="1191" spans="4:4">
      <c r="D1191" s="148"/>
    </row>
    <row r="1192" spans="4:4">
      <c r="D1192" s="148"/>
    </row>
    <row r="1193" spans="4:4">
      <c r="D1193" s="148"/>
    </row>
    <row r="1194" spans="4:4">
      <c r="D1194" s="148"/>
    </row>
    <row r="1195" spans="4:4">
      <c r="D1195" s="148"/>
    </row>
    <row r="1196" spans="4:4">
      <c r="D1196" s="148"/>
    </row>
    <row r="1197" spans="4:4">
      <c r="D1197" s="148"/>
    </row>
    <row r="1198" spans="4:4">
      <c r="D1198" s="148"/>
    </row>
    <row r="1199" spans="4:4">
      <c r="D1199" s="148"/>
    </row>
    <row r="1200" spans="4:4">
      <c r="D1200" s="148"/>
    </row>
    <row r="1201" spans="4:4">
      <c r="D1201" s="148"/>
    </row>
    <row r="1202" spans="4:4">
      <c r="D1202" s="148"/>
    </row>
    <row r="1203" spans="4:4">
      <c r="D1203" s="148"/>
    </row>
    <row r="1204" spans="4:4">
      <c r="D1204" s="148"/>
    </row>
    <row r="1205" spans="4:4">
      <c r="D1205" s="148"/>
    </row>
    <row r="1206" spans="4:4">
      <c r="D1206" s="148"/>
    </row>
    <row r="1207" spans="4:4">
      <c r="D1207" s="148"/>
    </row>
    <row r="1208" spans="4:4">
      <c r="D1208" s="148"/>
    </row>
    <row r="1209" spans="4:4">
      <c r="D1209" s="148"/>
    </row>
    <row r="1210" spans="4:4">
      <c r="D1210" s="148"/>
    </row>
    <row r="1211" spans="4:4">
      <c r="D1211" s="148"/>
    </row>
    <row r="1212" spans="4:4">
      <c r="D1212" s="148"/>
    </row>
    <row r="1213" spans="4:4">
      <c r="D1213" s="148"/>
    </row>
    <row r="1214" spans="4:4">
      <c r="D1214" s="148"/>
    </row>
    <row r="1215" spans="4:4">
      <c r="D1215" s="148"/>
    </row>
    <row r="1216" spans="4:4">
      <c r="D1216" s="148"/>
    </row>
    <row r="1217" spans="4:4">
      <c r="D1217" s="148"/>
    </row>
    <row r="1218" spans="4:4">
      <c r="D1218" s="148"/>
    </row>
    <row r="1219" spans="4:4">
      <c r="D1219" s="148"/>
    </row>
    <row r="1220" spans="4:4">
      <c r="D1220" s="148"/>
    </row>
    <row r="1221" spans="4:4">
      <c r="D1221" s="148"/>
    </row>
    <row r="1222" spans="4:4">
      <c r="D1222" s="148"/>
    </row>
    <row r="1223" spans="4:4">
      <c r="D1223" s="148"/>
    </row>
    <row r="1224" spans="4:4">
      <c r="D1224" s="148"/>
    </row>
    <row r="1225" spans="4:4">
      <c r="D1225" s="148"/>
    </row>
    <row r="1226" spans="4:4">
      <c r="D1226" s="148"/>
    </row>
    <row r="1227" spans="4:4">
      <c r="D1227" s="148"/>
    </row>
    <row r="1228" spans="4:4">
      <c r="D1228" s="148"/>
    </row>
    <row r="1229" spans="4:4">
      <c r="D1229" s="148"/>
    </row>
    <row r="1230" spans="4:4">
      <c r="D1230" s="148"/>
    </row>
    <row r="1231" spans="4:4">
      <c r="D1231" s="148"/>
    </row>
    <row r="1232" spans="4:4">
      <c r="D1232" s="148"/>
    </row>
    <row r="1233" spans="4:4">
      <c r="D1233" s="148"/>
    </row>
    <row r="1234" spans="4:4">
      <c r="D1234" s="148"/>
    </row>
    <row r="1235" spans="4:4">
      <c r="D1235" s="148"/>
    </row>
    <row r="1236" spans="4:4">
      <c r="D1236" s="148"/>
    </row>
    <row r="1237" spans="4:4">
      <c r="D1237" s="148"/>
    </row>
    <row r="1238" spans="4:4">
      <c r="D1238" s="148"/>
    </row>
    <row r="1239" spans="4:4">
      <c r="D1239" s="148"/>
    </row>
    <row r="1240" spans="4:4">
      <c r="D1240" s="148"/>
    </row>
    <row r="1241" spans="4:4">
      <c r="D1241" s="148"/>
    </row>
    <row r="1242" spans="4:4">
      <c r="D1242" s="148"/>
    </row>
    <row r="1243" spans="4:4">
      <c r="D1243" s="148"/>
    </row>
    <row r="1244" spans="4:4">
      <c r="D1244" s="148"/>
    </row>
    <row r="1245" spans="4:4">
      <c r="D1245" s="148"/>
    </row>
    <row r="1246" spans="4:4">
      <c r="D1246" s="148"/>
    </row>
    <row r="1247" spans="4:4">
      <c r="D1247" s="148"/>
    </row>
    <row r="1248" spans="4:4">
      <c r="D1248" s="148"/>
    </row>
    <row r="1249" spans="4:4">
      <c r="D1249" s="148"/>
    </row>
    <row r="1250" spans="4:4">
      <c r="D1250" s="148"/>
    </row>
    <row r="1251" spans="4:4">
      <c r="D1251" s="148"/>
    </row>
    <row r="1252" spans="4:4">
      <c r="D1252" s="148"/>
    </row>
    <row r="1253" spans="4:4">
      <c r="D1253" s="148"/>
    </row>
    <row r="1254" spans="4:4">
      <c r="D1254" s="148"/>
    </row>
    <row r="1255" spans="4:4">
      <c r="D1255" s="148"/>
    </row>
    <row r="1256" spans="4:4">
      <c r="D1256" s="148"/>
    </row>
    <row r="1257" spans="4:4">
      <c r="D1257" s="148"/>
    </row>
    <row r="1258" spans="4:4">
      <c r="D1258" s="148"/>
    </row>
    <row r="1259" spans="4:4">
      <c r="D1259" s="148"/>
    </row>
    <row r="1260" spans="4:4">
      <c r="D1260" s="148"/>
    </row>
    <row r="1261" spans="4:4">
      <c r="D1261" s="148"/>
    </row>
    <row r="1262" spans="4:4">
      <c r="D1262" s="148"/>
    </row>
    <row r="1263" spans="4:4">
      <c r="D1263" s="148"/>
    </row>
    <row r="1264" spans="4:4">
      <c r="D1264" s="148"/>
    </row>
    <row r="1265" spans="4:4">
      <c r="D1265" s="148"/>
    </row>
    <row r="1266" spans="4:4">
      <c r="D1266" s="148"/>
    </row>
    <row r="1267" spans="4:4">
      <c r="D1267" s="148"/>
    </row>
    <row r="1268" spans="4:4">
      <c r="D1268" s="148"/>
    </row>
    <row r="1269" spans="4:4">
      <c r="D1269" s="148"/>
    </row>
    <row r="1270" spans="4:4">
      <c r="D1270" s="148"/>
    </row>
    <row r="1271" spans="4:4">
      <c r="D1271" s="148"/>
    </row>
    <row r="1272" spans="4:4">
      <c r="D1272" s="148"/>
    </row>
    <row r="1273" spans="4:4">
      <c r="D1273" s="148"/>
    </row>
    <row r="1274" spans="4:4">
      <c r="D1274" s="148"/>
    </row>
    <row r="1275" spans="4:4">
      <c r="D1275" s="148"/>
    </row>
    <row r="1276" spans="4:4">
      <c r="D1276" s="148"/>
    </row>
    <row r="1277" spans="4:4">
      <c r="D1277" s="148"/>
    </row>
    <row r="1278" spans="4:4">
      <c r="D1278" s="148"/>
    </row>
    <row r="1279" spans="4:4">
      <c r="D1279" s="148"/>
    </row>
    <row r="1280" spans="4:4">
      <c r="D1280" s="148"/>
    </row>
    <row r="1281" spans="4:4">
      <c r="D1281" s="148"/>
    </row>
    <row r="1282" spans="4:4">
      <c r="D1282" s="148"/>
    </row>
    <row r="1283" spans="4:4">
      <c r="D1283" s="148"/>
    </row>
    <row r="1284" spans="4:4">
      <c r="D1284" s="148"/>
    </row>
    <row r="1285" spans="4:4">
      <c r="D1285" s="148"/>
    </row>
    <row r="1286" spans="4:4">
      <c r="D1286" s="148"/>
    </row>
    <row r="1287" spans="4:4">
      <c r="D1287" s="148"/>
    </row>
    <row r="1288" spans="4:4">
      <c r="D1288" s="148"/>
    </row>
    <row r="1289" spans="4:4">
      <c r="D1289" s="148"/>
    </row>
    <row r="1290" spans="4:4">
      <c r="D1290" s="148"/>
    </row>
    <row r="1291" spans="4:4">
      <c r="D1291" s="148"/>
    </row>
    <row r="1292" spans="4:4">
      <c r="D1292" s="148"/>
    </row>
    <row r="1293" spans="4:4">
      <c r="D1293" s="148"/>
    </row>
    <row r="1294" spans="4:4">
      <c r="D1294" s="148"/>
    </row>
    <row r="1295" spans="4:4">
      <c r="D1295" s="148"/>
    </row>
    <row r="1296" spans="4:4">
      <c r="D1296" s="148"/>
    </row>
    <row r="1297" spans="4:4">
      <c r="D1297" s="148"/>
    </row>
    <row r="1298" spans="4:4">
      <c r="D1298" s="148"/>
    </row>
    <row r="1299" spans="4:4">
      <c r="D1299" s="148"/>
    </row>
    <row r="1300" spans="4:4">
      <c r="D1300" s="148"/>
    </row>
    <row r="1301" spans="4:4">
      <c r="D1301" s="148"/>
    </row>
    <row r="1302" spans="4:4">
      <c r="D1302" s="148"/>
    </row>
    <row r="1303" spans="4:4">
      <c r="D1303" s="148"/>
    </row>
    <row r="1304" spans="4:4">
      <c r="D1304" s="148"/>
    </row>
    <row r="1305" spans="4:4">
      <c r="D1305" s="148"/>
    </row>
    <row r="1306" spans="4:4">
      <c r="D1306" s="148"/>
    </row>
    <row r="1307" spans="4:4">
      <c r="D1307" s="148"/>
    </row>
    <row r="1308" spans="4:4">
      <c r="D1308" s="148"/>
    </row>
    <row r="1309" spans="4:4">
      <c r="D1309" s="148"/>
    </row>
    <row r="1310" spans="4:4">
      <c r="D1310" s="148"/>
    </row>
    <row r="1311" spans="4:4">
      <c r="D1311" s="148"/>
    </row>
    <row r="1312" spans="4:4">
      <c r="D1312" s="148"/>
    </row>
    <row r="1313" spans="4:4">
      <c r="D1313" s="148"/>
    </row>
    <row r="1314" spans="4:4">
      <c r="D1314" s="148"/>
    </row>
    <row r="1315" spans="4:4">
      <c r="D1315" s="148"/>
    </row>
    <row r="1316" spans="4:4">
      <c r="D1316" s="148"/>
    </row>
    <row r="1317" spans="4:4">
      <c r="D1317" s="148"/>
    </row>
    <row r="1318" spans="4:4">
      <c r="D1318" s="148"/>
    </row>
    <row r="1319" spans="4:4">
      <c r="D1319" s="148"/>
    </row>
    <row r="1320" spans="4:4">
      <c r="D1320" s="148"/>
    </row>
    <row r="1321" spans="4:4">
      <c r="D1321" s="148"/>
    </row>
    <row r="1322" spans="4:4">
      <c r="D1322" s="148"/>
    </row>
    <row r="1323" spans="4:4">
      <c r="D1323" s="148"/>
    </row>
    <row r="1324" spans="4:4">
      <c r="D1324" s="148"/>
    </row>
    <row r="1325" spans="4:4">
      <c r="D1325" s="148"/>
    </row>
    <row r="1326" spans="4:4">
      <c r="D1326" s="148"/>
    </row>
    <row r="1327" spans="4:4">
      <c r="D1327" s="148"/>
    </row>
    <row r="1328" spans="4:4">
      <c r="D1328" s="148"/>
    </row>
    <row r="1329" spans="4:4">
      <c r="D1329" s="148"/>
    </row>
    <row r="1330" spans="4:4">
      <c r="D1330" s="148"/>
    </row>
    <row r="1331" spans="4:4">
      <c r="D1331" s="148"/>
    </row>
    <row r="1332" spans="4:4">
      <c r="D1332" s="148"/>
    </row>
    <row r="1333" spans="4:4">
      <c r="D1333" s="148"/>
    </row>
    <row r="1334" spans="4:4">
      <c r="D1334" s="148"/>
    </row>
    <row r="1335" spans="4:4">
      <c r="D1335" s="148"/>
    </row>
    <row r="1336" spans="4:4">
      <c r="D1336" s="148"/>
    </row>
    <row r="1337" spans="4:4">
      <c r="D1337" s="148"/>
    </row>
    <row r="1338" spans="4:4">
      <c r="D1338" s="148"/>
    </row>
    <row r="1339" spans="4:4">
      <c r="D1339" s="148"/>
    </row>
    <row r="1340" spans="4:4">
      <c r="D1340" s="148"/>
    </row>
    <row r="1341" spans="4:4">
      <c r="D1341" s="148"/>
    </row>
    <row r="1342" spans="4:4">
      <c r="D1342" s="148"/>
    </row>
    <row r="1343" spans="4:4">
      <c r="D1343" s="148"/>
    </row>
    <row r="1344" spans="4:4">
      <c r="D1344" s="148"/>
    </row>
    <row r="1345" spans="4:4">
      <c r="D1345" s="148"/>
    </row>
    <row r="1346" spans="4:4">
      <c r="D1346" s="148"/>
    </row>
    <row r="1347" spans="4:4">
      <c r="D1347" s="148"/>
    </row>
    <row r="1348" spans="4:4">
      <c r="D1348" s="148"/>
    </row>
    <row r="1349" spans="4:4">
      <c r="D1349" s="148"/>
    </row>
    <row r="1350" spans="4:4">
      <c r="D1350" s="148"/>
    </row>
    <row r="1351" spans="4:4">
      <c r="D1351" s="148"/>
    </row>
    <row r="1352" spans="4:4">
      <c r="D1352" s="148"/>
    </row>
    <row r="1353" spans="4:4">
      <c r="D1353" s="148"/>
    </row>
    <row r="1354" spans="4:4">
      <c r="D1354" s="148"/>
    </row>
    <row r="1355" spans="4:4">
      <c r="D1355" s="148"/>
    </row>
    <row r="1356" spans="4:4">
      <c r="D1356" s="148"/>
    </row>
    <row r="1357" spans="4:4">
      <c r="D1357" s="148"/>
    </row>
    <row r="1358" spans="4:4">
      <c r="D1358" s="148"/>
    </row>
    <row r="1359" spans="4:4">
      <c r="D1359" s="148"/>
    </row>
    <row r="1360" spans="4:4">
      <c r="D1360" s="148"/>
    </row>
    <row r="1361" spans="4:4">
      <c r="D1361" s="148"/>
    </row>
    <row r="1362" spans="4:4">
      <c r="D1362" s="148"/>
    </row>
    <row r="1363" spans="4:4">
      <c r="D1363" s="148"/>
    </row>
    <row r="1364" spans="4:4">
      <c r="D1364" s="148"/>
    </row>
    <row r="1365" spans="4:4">
      <c r="D1365" s="148"/>
    </row>
    <row r="1366" spans="4:4">
      <c r="D1366" s="148"/>
    </row>
    <row r="1367" spans="4:4">
      <c r="D1367" s="148"/>
    </row>
    <row r="1368" spans="4:4">
      <c r="D1368" s="148"/>
    </row>
    <row r="1369" spans="4:4">
      <c r="D1369" s="148"/>
    </row>
    <row r="1370" spans="4:4">
      <c r="D1370" s="148"/>
    </row>
    <row r="1371" spans="4:4">
      <c r="D1371" s="148"/>
    </row>
    <row r="1372" spans="4:4">
      <c r="D1372" s="148"/>
    </row>
    <row r="1373" spans="4:4">
      <c r="D1373" s="148"/>
    </row>
    <row r="1374" spans="4:4">
      <c r="D1374" s="148"/>
    </row>
    <row r="1375" spans="4:4">
      <c r="D1375" s="148"/>
    </row>
    <row r="1376" spans="4:4">
      <c r="D1376" s="148"/>
    </row>
    <row r="1377" spans="4:4">
      <c r="D1377" s="148"/>
    </row>
    <row r="1378" spans="4:4">
      <c r="D1378" s="148"/>
    </row>
    <row r="1379" spans="4:4">
      <c r="D1379" s="148"/>
    </row>
    <row r="1380" spans="4:4">
      <c r="D1380" s="148"/>
    </row>
    <row r="1381" spans="4:4">
      <c r="D1381" s="148"/>
    </row>
    <row r="1382" spans="4:4">
      <c r="D1382" s="148"/>
    </row>
    <row r="1383" spans="4:4">
      <c r="D1383" s="148"/>
    </row>
    <row r="1384" spans="4:4">
      <c r="D1384" s="148"/>
    </row>
    <row r="1385" spans="4:4">
      <c r="D1385" s="148"/>
    </row>
    <row r="1386" spans="4:4">
      <c r="D1386" s="148"/>
    </row>
    <row r="1387" spans="4:4">
      <c r="D1387" s="148"/>
    </row>
    <row r="1388" spans="4:4">
      <c r="D1388" s="148"/>
    </row>
    <row r="1389" spans="4:4">
      <c r="D1389" s="148"/>
    </row>
    <row r="1390" spans="4:4">
      <c r="D1390" s="148"/>
    </row>
    <row r="1391" spans="4:4">
      <c r="D1391" s="148"/>
    </row>
    <row r="1392" spans="4:4">
      <c r="D1392" s="148"/>
    </row>
    <row r="1393" spans="4:4">
      <c r="D1393" s="148"/>
    </row>
    <row r="1394" spans="4:4">
      <c r="D1394" s="148"/>
    </row>
    <row r="1395" spans="4:4">
      <c r="D1395" s="148"/>
    </row>
    <row r="1396" spans="4:4">
      <c r="D1396" s="148"/>
    </row>
    <row r="1397" spans="4:4">
      <c r="D1397" s="148"/>
    </row>
    <row r="1398" spans="4:4">
      <c r="D1398" s="148"/>
    </row>
    <row r="1399" spans="4:4">
      <c r="D1399" s="148"/>
    </row>
    <row r="1400" spans="4:4">
      <c r="D1400" s="148"/>
    </row>
    <row r="1401" spans="4:4">
      <c r="D1401" s="148"/>
    </row>
    <row r="1402" spans="4:4">
      <c r="D1402" s="148"/>
    </row>
    <row r="1403" spans="4:4">
      <c r="D1403" s="148"/>
    </row>
    <row r="1404" spans="4:4">
      <c r="D1404" s="148"/>
    </row>
    <row r="1405" spans="4:4">
      <c r="D1405" s="148"/>
    </row>
    <row r="1406" spans="4:4">
      <c r="D1406" s="148"/>
    </row>
    <row r="1407" spans="4:4">
      <c r="D1407" s="148"/>
    </row>
    <row r="1408" spans="4:4">
      <c r="D1408" s="148"/>
    </row>
    <row r="1409" spans="4:4">
      <c r="D1409" s="148"/>
    </row>
    <row r="1410" spans="4:4">
      <c r="D1410" s="148"/>
    </row>
    <row r="1411" spans="4:4">
      <c r="D1411" s="148"/>
    </row>
    <row r="1412" spans="4:4">
      <c r="D1412" s="148"/>
    </row>
    <row r="1413" spans="4:4">
      <c r="D1413" s="148"/>
    </row>
    <row r="1414" spans="4:4">
      <c r="D1414" s="148"/>
    </row>
    <row r="1415" spans="4:4">
      <c r="D1415" s="148"/>
    </row>
    <row r="1416" spans="4:4">
      <c r="D1416" s="148"/>
    </row>
    <row r="1417" spans="4:4">
      <c r="D1417" s="148"/>
    </row>
    <row r="1418" spans="4:4">
      <c r="D1418" s="148"/>
    </row>
    <row r="1419" spans="4:4">
      <c r="D1419" s="148"/>
    </row>
    <row r="1420" spans="4:4">
      <c r="D1420" s="148"/>
    </row>
    <row r="1421" spans="4:4">
      <c r="D1421" s="148"/>
    </row>
    <row r="1422" spans="4:4">
      <c r="D1422" s="148"/>
    </row>
    <row r="1423" spans="4:4">
      <c r="D1423" s="148"/>
    </row>
    <row r="1424" spans="4:4">
      <c r="D1424" s="148"/>
    </row>
    <row r="1425" spans="4:4">
      <c r="D1425" s="148"/>
    </row>
    <row r="1426" spans="4:4">
      <c r="D1426" s="148"/>
    </row>
    <row r="1427" spans="4:4">
      <c r="D1427" s="148"/>
    </row>
    <row r="1428" spans="4:4">
      <c r="D1428" s="148"/>
    </row>
    <row r="1429" spans="4:4">
      <c r="D1429" s="148"/>
    </row>
    <row r="1430" spans="4:4">
      <c r="D1430" s="148"/>
    </row>
    <row r="1431" spans="4:4">
      <c r="D1431" s="148"/>
    </row>
    <row r="1432" spans="4:4">
      <c r="D1432" s="148"/>
    </row>
    <row r="1433" spans="4:4">
      <c r="D1433" s="148"/>
    </row>
    <row r="1434" spans="4:4">
      <c r="D1434" s="148"/>
    </row>
    <row r="1435" spans="4:4">
      <c r="D1435" s="148"/>
    </row>
    <row r="1436" spans="4:4">
      <c r="D1436" s="148"/>
    </row>
    <row r="1437" spans="4:4">
      <c r="D1437" s="148"/>
    </row>
    <row r="1438" spans="4:4">
      <c r="D1438" s="148"/>
    </row>
    <row r="1439" spans="4:4">
      <c r="D1439" s="148"/>
    </row>
    <row r="1440" spans="4:4">
      <c r="D1440" s="148"/>
    </row>
    <row r="1441" spans="4:4">
      <c r="D1441" s="148"/>
    </row>
    <row r="1442" spans="4:4">
      <c r="D1442" s="148"/>
    </row>
    <row r="1443" spans="4:4">
      <c r="D1443" s="148"/>
    </row>
    <row r="1444" spans="4:4">
      <c r="D1444" s="148"/>
    </row>
    <row r="1445" spans="4:4">
      <c r="D1445" s="148"/>
    </row>
    <row r="1446" spans="4:4">
      <c r="D1446" s="148"/>
    </row>
    <row r="1447" spans="4:4">
      <c r="D1447" s="148"/>
    </row>
    <row r="1448" spans="4:4">
      <c r="D1448" s="148"/>
    </row>
    <row r="1449" spans="4:4">
      <c r="D1449" s="148"/>
    </row>
    <row r="1450" spans="4:4">
      <c r="D1450" s="148"/>
    </row>
    <row r="1451" spans="4:4">
      <c r="D1451" s="148"/>
    </row>
    <row r="1452" spans="4:4">
      <c r="D1452" s="148"/>
    </row>
    <row r="1453" spans="4:4">
      <c r="D1453" s="148"/>
    </row>
    <row r="1454" spans="4:4">
      <c r="D1454" s="148"/>
    </row>
    <row r="1455" spans="4:4">
      <c r="D1455" s="148"/>
    </row>
    <row r="1456" spans="4:4">
      <c r="D1456" s="148"/>
    </row>
    <row r="1457" spans="4:4">
      <c r="D1457" s="148"/>
    </row>
    <row r="1458" spans="4:4">
      <c r="D1458" s="148"/>
    </row>
    <row r="1459" spans="4:4">
      <c r="D1459" s="148"/>
    </row>
    <row r="1460" spans="4:4">
      <c r="D1460" s="148"/>
    </row>
    <row r="1461" spans="4:4">
      <c r="D1461" s="148"/>
    </row>
    <row r="1462" spans="4:4">
      <c r="D1462" s="148"/>
    </row>
    <row r="1463" spans="4:4">
      <c r="D1463" s="148"/>
    </row>
    <row r="1464" spans="4:4">
      <c r="D1464" s="148"/>
    </row>
    <row r="1465" spans="4:4">
      <c r="D1465" s="148"/>
    </row>
    <row r="1466" spans="4:4">
      <c r="D1466" s="148"/>
    </row>
    <row r="1467" spans="4:4">
      <c r="D1467" s="148"/>
    </row>
    <row r="1468" spans="4:4">
      <c r="D1468" s="148"/>
    </row>
    <row r="1469" spans="4:4">
      <c r="D1469" s="148"/>
    </row>
    <row r="1470" spans="4:4">
      <c r="D1470" s="148"/>
    </row>
    <row r="1471" spans="4:4">
      <c r="D1471" s="148"/>
    </row>
    <row r="1472" spans="4:4">
      <c r="D1472" s="148"/>
    </row>
    <row r="1473" spans="4:4">
      <c r="D1473" s="148"/>
    </row>
    <row r="1474" spans="4:4">
      <c r="D1474" s="148"/>
    </row>
    <row r="1475" spans="4:4">
      <c r="D1475" s="148"/>
    </row>
    <row r="1476" spans="4:4">
      <c r="D1476" s="148"/>
    </row>
    <row r="1477" spans="4:4">
      <c r="D1477" s="148"/>
    </row>
    <row r="1478" spans="4:4">
      <c r="D1478" s="148"/>
    </row>
    <row r="1479" spans="4:4">
      <c r="D1479" s="148"/>
    </row>
    <row r="1480" spans="4:4">
      <c r="D1480" s="148"/>
    </row>
    <row r="1481" spans="4:4">
      <c r="D1481" s="148"/>
    </row>
    <row r="1482" spans="4:4">
      <c r="D1482" s="148"/>
    </row>
    <row r="1483" spans="4:4">
      <c r="D1483" s="148"/>
    </row>
    <row r="1484" spans="4:4">
      <c r="D1484" s="148"/>
    </row>
    <row r="1485" spans="4:4">
      <c r="D1485" s="148"/>
    </row>
    <row r="1486" spans="4:4">
      <c r="D1486" s="148"/>
    </row>
    <row r="1487" spans="4:4">
      <c r="D1487" s="148"/>
    </row>
    <row r="1488" spans="4:4">
      <c r="D1488" s="148"/>
    </row>
    <row r="1489" spans="4:4">
      <c r="D1489" s="148"/>
    </row>
    <row r="1490" spans="4:4">
      <c r="D1490" s="148"/>
    </row>
    <row r="1491" spans="4:4">
      <c r="D1491" s="148"/>
    </row>
    <row r="1492" spans="4:4">
      <c r="D1492" s="148"/>
    </row>
    <row r="1493" spans="4:4">
      <c r="D1493" s="148"/>
    </row>
    <row r="1494" spans="4:4">
      <c r="D1494" s="148"/>
    </row>
    <row r="1495" spans="4:4">
      <c r="D1495" s="148"/>
    </row>
    <row r="1496" spans="4:4">
      <c r="D1496" s="148"/>
    </row>
    <row r="1497" spans="4:4">
      <c r="D1497" s="148"/>
    </row>
    <row r="1498" spans="4:4">
      <c r="D1498" s="148"/>
    </row>
    <row r="1499" spans="4:4">
      <c r="D1499" s="148"/>
    </row>
    <row r="1500" spans="4:4">
      <c r="D1500" s="148"/>
    </row>
    <row r="1501" spans="4:4">
      <c r="D1501" s="148"/>
    </row>
    <row r="1502" spans="4:4">
      <c r="D1502" s="148"/>
    </row>
    <row r="1503" spans="4:4">
      <c r="D1503" s="148"/>
    </row>
    <row r="1504" spans="4:4">
      <c r="D1504" s="148"/>
    </row>
    <row r="1505" spans="4:4">
      <c r="D1505" s="148"/>
    </row>
    <row r="1506" spans="4:4">
      <c r="D1506" s="148"/>
    </row>
    <row r="1507" spans="4:4">
      <c r="D1507" s="148"/>
    </row>
    <row r="1508" spans="4:4">
      <c r="D1508" s="148"/>
    </row>
    <row r="1509" spans="4:4">
      <c r="D1509" s="148"/>
    </row>
    <row r="1510" spans="4:4">
      <c r="D1510" s="148"/>
    </row>
    <row r="1511" spans="4:4">
      <c r="D1511" s="148"/>
    </row>
    <row r="1512" spans="4:4">
      <c r="D1512" s="148"/>
    </row>
    <row r="1513" spans="4:4">
      <c r="D1513" s="148"/>
    </row>
    <row r="1514" spans="4:4">
      <c r="D1514" s="148"/>
    </row>
    <row r="1515" spans="4:4">
      <c r="D1515" s="148"/>
    </row>
    <row r="1516" spans="4:4">
      <c r="D1516" s="148"/>
    </row>
    <row r="1517" spans="4:4">
      <c r="D1517" s="148"/>
    </row>
    <row r="1518" spans="4:4">
      <c r="D1518" s="148"/>
    </row>
    <row r="1519" spans="4:4">
      <c r="D1519" s="148"/>
    </row>
    <row r="1520" spans="4:4">
      <c r="D1520" s="148"/>
    </row>
    <row r="1521" spans="4:4">
      <c r="D1521" s="148"/>
    </row>
    <row r="1522" spans="4:4">
      <c r="D1522" s="148"/>
    </row>
    <row r="1523" spans="4:4">
      <c r="D1523" s="148"/>
    </row>
    <row r="1524" spans="4:4">
      <c r="D1524" s="148"/>
    </row>
    <row r="1525" spans="4:4">
      <c r="D1525" s="148"/>
    </row>
    <row r="1526" spans="4:4">
      <c r="D1526" s="148"/>
    </row>
    <row r="1527" spans="4:4">
      <c r="D1527" s="148"/>
    </row>
    <row r="1528" spans="4:4">
      <c r="D1528" s="148"/>
    </row>
    <row r="1529" spans="4:4">
      <c r="D1529" s="148"/>
    </row>
    <row r="1530" spans="4:4">
      <c r="D1530" s="148"/>
    </row>
    <row r="1531" spans="4:4">
      <c r="D1531" s="148"/>
    </row>
    <row r="1532" spans="4:4">
      <c r="D1532" s="148"/>
    </row>
    <row r="1533" spans="4:4">
      <c r="D1533" s="148"/>
    </row>
    <row r="1534" spans="4:4">
      <c r="D1534" s="148"/>
    </row>
    <row r="1535" spans="4:4">
      <c r="D1535" s="148"/>
    </row>
    <row r="1536" spans="4:4">
      <c r="D1536" s="148"/>
    </row>
    <row r="1537" spans="4:4">
      <c r="D1537" s="148"/>
    </row>
    <row r="1538" spans="4:4">
      <c r="D1538" s="148"/>
    </row>
    <row r="1539" spans="4:4">
      <c r="D1539" s="148"/>
    </row>
    <row r="1540" spans="4:4">
      <c r="D1540" s="148"/>
    </row>
    <row r="1541" spans="4:4">
      <c r="D1541" s="148"/>
    </row>
    <row r="1542" spans="4:4">
      <c r="D1542" s="148"/>
    </row>
    <row r="1543" spans="4:4">
      <c r="D1543" s="148"/>
    </row>
    <row r="1544" spans="4:4">
      <c r="D1544" s="148"/>
    </row>
    <row r="1545" spans="4:4">
      <c r="D1545" s="148"/>
    </row>
    <row r="1546" spans="4:4">
      <c r="D1546" s="148"/>
    </row>
    <row r="1547" spans="4:4">
      <c r="D1547" s="148"/>
    </row>
    <row r="1548" spans="4:4">
      <c r="D1548" s="148"/>
    </row>
    <row r="1549" spans="4:4">
      <c r="D1549" s="148"/>
    </row>
    <row r="1550" spans="4:4">
      <c r="D1550" s="148"/>
    </row>
    <row r="1551" spans="4:4">
      <c r="D1551" s="148"/>
    </row>
    <row r="1552" spans="4:4">
      <c r="D1552" s="148"/>
    </row>
    <row r="1553" spans="4:4">
      <c r="D1553" s="148"/>
    </row>
    <row r="1554" spans="4:4">
      <c r="D1554" s="148"/>
    </row>
    <row r="1555" spans="4:4">
      <c r="D1555" s="148"/>
    </row>
    <row r="1556" spans="4:4">
      <c r="D1556" s="148"/>
    </row>
    <row r="1557" spans="4:4">
      <c r="D1557" s="148"/>
    </row>
    <row r="1558" spans="4:4">
      <c r="D1558" s="148"/>
    </row>
    <row r="1559" spans="4:4">
      <c r="D1559" s="148"/>
    </row>
    <row r="1560" spans="4:4">
      <c r="D1560" s="148"/>
    </row>
    <row r="1561" spans="4:4">
      <c r="D1561" s="148"/>
    </row>
    <row r="1562" spans="4:4">
      <c r="D1562" s="148"/>
    </row>
    <row r="1563" spans="4:4">
      <c r="D1563" s="148"/>
    </row>
    <row r="1564" spans="4:4">
      <c r="D1564" s="148"/>
    </row>
    <row r="1565" spans="4:4">
      <c r="D1565" s="148"/>
    </row>
    <row r="1566" spans="4:4">
      <c r="D1566" s="148"/>
    </row>
    <row r="1567" spans="4:4">
      <c r="D1567" s="148"/>
    </row>
    <row r="1568" spans="4:4">
      <c r="D1568" s="148"/>
    </row>
    <row r="1569" spans="4:4">
      <c r="D1569" s="148"/>
    </row>
    <row r="1570" spans="4:4">
      <c r="D1570" s="148"/>
    </row>
    <row r="1571" spans="4:4">
      <c r="D1571" s="148"/>
    </row>
    <row r="1572" spans="4:4">
      <c r="D1572" s="148"/>
    </row>
    <row r="1573" spans="4:4">
      <c r="D1573" s="148"/>
    </row>
    <row r="1574" spans="4:4">
      <c r="D1574" s="148"/>
    </row>
    <row r="1575" spans="4:4">
      <c r="D1575" s="148"/>
    </row>
    <row r="1576" spans="4:4">
      <c r="D1576" s="148"/>
    </row>
    <row r="1577" spans="4:4">
      <c r="D1577" s="148"/>
    </row>
    <row r="1578" spans="4:4">
      <c r="D1578" s="148"/>
    </row>
    <row r="1579" spans="4:4">
      <c r="D1579" s="148"/>
    </row>
    <row r="1580" spans="4:4">
      <c r="D1580" s="148"/>
    </row>
    <row r="1581" spans="4:4">
      <c r="D1581" s="148"/>
    </row>
    <row r="1582" spans="4:4">
      <c r="D1582" s="148"/>
    </row>
    <row r="1583" spans="4:4">
      <c r="D1583" s="148"/>
    </row>
    <row r="1584" spans="4:4">
      <c r="D1584" s="148"/>
    </row>
    <row r="1585" spans="4:4">
      <c r="D1585" s="148"/>
    </row>
    <row r="1586" spans="4:4">
      <c r="D1586" s="148"/>
    </row>
    <row r="1587" spans="4:4">
      <c r="D1587" s="148"/>
    </row>
    <row r="1588" spans="4:4">
      <c r="D1588" s="148"/>
    </row>
    <row r="1589" spans="4:4">
      <c r="D1589" s="148"/>
    </row>
    <row r="1590" spans="4:4">
      <c r="D1590" s="148"/>
    </row>
    <row r="1591" spans="4:4">
      <c r="D1591" s="148"/>
    </row>
    <row r="1592" spans="4:4">
      <c r="D1592" s="148"/>
    </row>
    <row r="1593" spans="4:4">
      <c r="D1593" s="148"/>
    </row>
    <row r="1594" spans="4:4">
      <c r="D1594" s="148"/>
    </row>
    <row r="1595" spans="4:4">
      <c r="D1595" s="148"/>
    </row>
    <row r="1596" spans="4:4">
      <c r="D1596" s="148"/>
    </row>
    <row r="1597" spans="4:4">
      <c r="D1597" s="148"/>
    </row>
    <row r="1598" spans="4:4">
      <c r="D1598" s="148"/>
    </row>
    <row r="1599" spans="4:4">
      <c r="D1599" s="148"/>
    </row>
    <row r="1600" spans="4:4">
      <c r="D1600" s="148"/>
    </row>
    <row r="1601" spans="4:4">
      <c r="D1601" s="148"/>
    </row>
    <row r="1602" spans="4:4">
      <c r="D1602" s="148"/>
    </row>
    <row r="1603" spans="4:4">
      <c r="D1603" s="148"/>
    </row>
    <row r="1604" spans="4:4">
      <c r="D1604" s="148"/>
    </row>
    <row r="1605" spans="4:4">
      <c r="D1605" s="148"/>
    </row>
    <row r="1606" spans="4:4">
      <c r="D1606" s="148"/>
    </row>
    <row r="1607" spans="4:4">
      <c r="D1607" s="148"/>
    </row>
    <row r="1608" spans="4:4">
      <c r="D1608" s="148"/>
    </row>
    <row r="1609" spans="4:4">
      <c r="D1609" s="148"/>
    </row>
    <row r="1610" spans="4:4">
      <c r="D1610" s="148"/>
    </row>
    <row r="1611" spans="4:4">
      <c r="D1611" s="148"/>
    </row>
    <row r="1612" spans="4:4">
      <c r="D1612" s="148"/>
    </row>
    <row r="1613" spans="4:4">
      <c r="D1613" s="148"/>
    </row>
    <row r="1614" spans="4:4">
      <c r="D1614" s="148"/>
    </row>
    <row r="1615" spans="4:4">
      <c r="D1615" s="148"/>
    </row>
    <row r="1616" spans="4:4">
      <c r="D1616" s="148"/>
    </row>
    <row r="1617" spans="4:4">
      <c r="D1617" s="148"/>
    </row>
    <row r="1618" spans="4:4">
      <c r="D1618" s="148"/>
    </row>
    <row r="1619" spans="4:4">
      <c r="D1619" s="148"/>
    </row>
    <row r="1620" spans="4:4">
      <c r="D1620" s="148"/>
    </row>
    <row r="1621" spans="4:4">
      <c r="D1621" s="148"/>
    </row>
    <row r="1622" spans="4:4">
      <c r="D1622" s="148"/>
    </row>
    <row r="1623" spans="4:4">
      <c r="D1623" s="148"/>
    </row>
    <row r="1624" spans="4:4">
      <c r="D1624" s="148"/>
    </row>
    <row r="1625" spans="4:4">
      <c r="D1625" s="148"/>
    </row>
    <row r="1626" spans="4:4">
      <c r="D1626" s="148"/>
    </row>
    <row r="1627" spans="4:4">
      <c r="D1627" s="148"/>
    </row>
    <row r="1628" spans="4:4">
      <c r="D1628" s="148"/>
    </row>
    <row r="1629" spans="4:4">
      <c r="D1629" s="148"/>
    </row>
    <row r="1630" spans="4:4">
      <c r="D1630" s="148"/>
    </row>
    <row r="1631" spans="4:4">
      <c r="D1631" s="148"/>
    </row>
    <row r="1632" spans="4:4">
      <c r="D1632" s="148"/>
    </row>
    <row r="1633" spans="4:4">
      <c r="D1633" s="148"/>
    </row>
    <row r="1634" spans="4:4">
      <c r="D1634" s="148"/>
    </row>
    <row r="1635" spans="4:4">
      <c r="D1635" s="148"/>
    </row>
    <row r="1636" spans="4:4">
      <c r="D1636" s="148"/>
    </row>
    <row r="1637" spans="4:4">
      <c r="D1637" s="148"/>
    </row>
    <row r="1638" spans="4:4">
      <c r="D1638" s="148"/>
    </row>
    <row r="1639" spans="4:4">
      <c r="D1639" s="148"/>
    </row>
    <row r="1640" spans="4:4">
      <c r="D1640" s="148"/>
    </row>
    <row r="1641" spans="4:4">
      <c r="D1641" s="148"/>
    </row>
    <row r="1642" spans="4:4">
      <c r="D1642" s="148"/>
    </row>
    <row r="1643" spans="4:4">
      <c r="D1643" s="148"/>
    </row>
    <row r="1644" spans="4:4">
      <c r="D1644" s="148"/>
    </row>
    <row r="1645" spans="4:4">
      <c r="D1645" s="148"/>
    </row>
    <row r="1646" spans="4:4">
      <c r="D1646" s="148"/>
    </row>
    <row r="1647" spans="4:4">
      <c r="D1647" s="148"/>
    </row>
    <row r="1648" spans="4:4">
      <c r="D1648" s="148"/>
    </row>
    <row r="1649" spans="4:4">
      <c r="D1649" s="148"/>
    </row>
    <row r="1650" spans="4:4">
      <c r="D1650" s="148"/>
    </row>
    <row r="1651" spans="4:4">
      <c r="D1651" s="148"/>
    </row>
    <row r="1652" spans="4:4">
      <c r="D1652" s="148"/>
    </row>
    <row r="1653" spans="4:4">
      <c r="D1653" s="148"/>
    </row>
    <row r="1654" spans="4:4">
      <c r="D1654" s="148"/>
    </row>
    <row r="1655" spans="4:4">
      <c r="D1655" s="148"/>
    </row>
    <row r="1656" spans="4:4">
      <c r="D1656" s="148"/>
    </row>
    <row r="1657" spans="4:4">
      <c r="D1657" s="148"/>
    </row>
    <row r="1658" spans="4:4">
      <c r="D1658" s="148"/>
    </row>
    <row r="1659" spans="4:4">
      <c r="D1659" s="148"/>
    </row>
    <row r="1660" spans="4:4">
      <c r="D1660" s="148"/>
    </row>
    <row r="1661" spans="4:4">
      <c r="D1661" s="148"/>
    </row>
    <row r="1662" spans="4:4">
      <c r="D1662" s="148"/>
    </row>
    <row r="1663" spans="4:4">
      <c r="D1663" s="148"/>
    </row>
    <row r="1664" spans="4:4">
      <c r="D1664" s="148"/>
    </row>
    <row r="1665" spans="4:4">
      <c r="D1665" s="148"/>
    </row>
    <row r="1666" spans="4:4">
      <c r="D1666" s="148"/>
    </row>
    <row r="1667" spans="4:4">
      <c r="D1667" s="148"/>
    </row>
    <row r="1668" spans="4:4">
      <c r="D1668" s="148"/>
    </row>
    <row r="1669" spans="4:4">
      <c r="D1669" s="148"/>
    </row>
    <row r="1670" spans="4:4">
      <c r="D1670" s="148"/>
    </row>
    <row r="1671" spans="4:4">
      <c r="D1671" s="148"/>
    </row>
    <row r="1672" spans="4:4">
      <c r="D1672" s="148"/>
    </row>
    <row r="1673" spans="4:4">
      <c r="D1673" s="148"/>
    </row>
    <row r="1674" spans="4:4">
      <c r="D1674" s="148"/>
    </row>
    <row r="1675" spans="4:4">
      <c r="D1675" s="148"/>
    </row>
    <row r="1676" spans="4:4">
      <c r="D1676" s="148"/>
    </row>
    <row r="1677" spans="4:4">
      <c r="D1677" s="148"/>
    </row>
    <row r="1678" spans="4:4">
      <c r="D1678" s="148"/>
    </row>
    <row r="1679" spans="4:4">
      <c r="D1679" s="148"/>
    </row>
    <row r="1680" spans="4:4">
      <c r="D1680" s="148"/>
    </row>
    <row r="1681" spans="4:4">
      <c r="D1681" s="148"/>
    </row>
    <row r="1682" spans="4:4">
      <c r="D1682" s="148"/>
    </row>
    <row r="1683" spans="4:4">
      <c r="D1683" s="148"/>
    </row>
    <row r="1684" spans="4:4">
      <c r="D1684" s="148"/>
    </row>
    <row r="1685" spans="4:4">
      <c r="D1685" s="148"/>
    </row>
    <row r="1686" spans="4:4">
      <c r="D1686" s="148"/>
    </row>
    <row r="1687" spans="4:4">
      <c r="D1687" s="148"/>
    </row>
    <row r="1688" spans="4:4">
      <c r="D1688" s="148"/>
    </row>
    <row r="1689" spans="4:4">
      <c r="D1689" s="148"/>
    </row>
    <row r="1690" spans="4:4">
      <c r="D1690" s="148"/>
    </row>
    <row r="1691" spans="4:4">
      <c r="D1691" s="148"/>
    </row>
    <row r="1692" spans="4:4">
      <c r="D1692" s="148"/>
    </row>
    <row r="1693" spans="4:4">
      <c r="D1693" s="148"/>
    </row>
    <row r="1694" spans="4:4">
      <c r="D1694" s="148"/>
    </row>
    <row r="1695" spans="4:4">
      <c r="D1695" s="148"/>
    </row>
    <row r="1696" spans="4:4">
      <c r="D1696" s="148"/>
    </row>
    <row r="1697" spans="4:4">
      <c r="D1697" s="148"/>
    </row>
    <row r="1698" spans="4:4">
      <c r="D1698" s="148"/>
    </row>
    <row r="1699" spans="4:4">
      <c r="D1699" s="148"/>
    </row>
    <row r="1700" spans="4:4">
      <c r="D1700" s="148"/>
    </row>
    <row r="1701" spans="4:4">
      <c r="D1701" s="148"/>
    </row>
    <row r="1702" spans="4:4">
      <c r="D1702" s="148"/>
    </row>
    <row r="1703" spans="4:4">
      <c r="D1703" s="148"/>
    </row>
    <row r="1704" spans="4:4">
      <c r="D1704" s="148"/>
    </row>
    <row r="1705" spans="4:4">
      <c r="D1705" s="148"/>
    </row>
    <row r="1706" spans="4:4">
      <c r="D1706" s="148"/>
    </row>
    <row r="1707" spans="4:4">
      <c r="D1707" s="148"/>
    </row>
    <row r="1708" spans="4:4">
      <c r="D1708" s="148"/>
    </row>
    <row r="1709" spans="4:4">
      <c r="D1709" s="148"/>
    </row>
    <row r="1710" spans="4:4">
      <c r="D1710" s="148"/>
    </row>
    <row r="1711" spans="4:4">
      <c r="D1711" s="148"/>
    </row>
    <row r="1712" spans="4:4">
      <c r="D1712" s="148"/>
    </row>
    <row r="1713" spans="4:4">
      <c r="D1713" s="148"/>
    </row>
    <row r="1714" spans="4:4">
      <c r="D1714" s="148"/>
    </row>
    <row r="1715" spans="4:4">
      <c r="D1715" s="148"/>
    </row>
    <row r="1716" spans="4:4">
      <c r="D1716" s="148"/>
    </row>
    <row r="1717" spans="4:4">
      <c r="D1717" s="148"/>
    </row>
    <row r="1718" spans="4:4">
      <c r="D1718" s="148"/>
    </row>
    <row r="1719" spans="4:4">
      <c r="D1719" s="148"/>
    </row>
    <row r="1720" spans="4:4">
      <c r="D1720" s="148"/>
    </row>
    <row r="1721" spans="4:4">
      <c r="D1721" s="148"/>
    </row>
    <row r="1722" spans="4:4">
      <c r="D1722" s="148"/>
    </row>
    <row r="1723" spans="4:4">
      <c r="D1723" s="148"/>
    </row>
    <row r="1724" spans="4:4">
      <c r="D1724" s="148"/>
    </row>
    <row r="1725" spans="4:4">
      <c r="D1725" s="148"/>
    </row>
    <row r="1726" spans="4:4">
      <c r="D1726" s="148"/>
    </row>
    <row r="1727" spans="4:4">
      <c r="D1727" s="148"/>
    </row>
    <row r="1728" spans="4:4">
      <c r="D1728" s="148"/>
    </row>
    <row r="1729" spans="4:4">
      <c r="D1729" s="148"/>
    </row>
    <row r="1730" spans="4:4">
      <c r="D1730" s="148"/>
    </row>
    <row r="1731" spans="4:4">
      <c r="D1731" s="148"/>
    </row>
    <row r="1732" spans="4:4">
      <c r="D1732" s="148"/>
    </row>
    <row r="1733" spans="4:4">
      <c r="D1733" s="148"/>
    </row>
    <row r="1734" spans="4:4">
      <c r="D1734" s="148"/>
    </row>
    <row r="1735" spans="4:4">
      <c r="D1735" s="148"/>
    </row>
    <row r="1736" spans="4:4">
      <c r="D1736" s="148"/>
    </row>
    <row r="1737" spans="4:4">
      <c r="D1737" s="148"/>
    </row>
    <row r="1738" spans="4:4">
      <c r="D1738" s="148"/>
    </row>
    <row r="1739" spans="4:4">
      <c r="D1739" s="148"/>
    </row>
    <row r="1740" spans="4:4">
      <c r="D1740" s="148"/>
    </row>
    <row r="1741" spans="4:4">
      <c r="D1741" s="148"/>
    </row>
    <row r="1742" spans="4:4">
      <c r="D1742" s="148"/>
    </row>
    <row r="1743" spans="4:4">
      <c r="D1743" s="148"/>
    </row>
    <row r="1744" spans="4:4">
      <c r="D1744" s="148"/>
    </row>
    <row r="1745" spans="4:4">
      <c r="D1745" s="148"/>
    </row>
    <row r="1746" spans="4:4">
      <c r="D1746" s="148"/>
    </row>
    <row r="1747" spans="4:4">
      <c r="D1747" s="148"/>
    </row>
    <row r="1748" spans="4:4">
      <c r="D1748" s="148"/>
    </row>
    <row r="1749" spans="4:4">
      <c r="D1749" s="148"/>
    </row>
    <row r="1750" spans="4:4">
      <c r="D1750" s="148"/>
    </row>
    <row r="1751" spans="4:4">
      <c r="D1751" s="148"/>
    </row>
    <row r="1752" spans="4:4">
      <c r="D1752" s="148"/>
    </row>
    <row r="1753" spans="4:4">
      <c r="D1753" s="148"/>
    </row>
    <row r="1754" spans="4:4">
      <c r="D1754" s="148"/>
    </row>
    <row r="1755" spans="4:4">
      <c r="D1755" s="148"/>
    </row>
    <row r="1756" spans="4:4">
      <c r="D1756" s="148"/>
    </row>
    <row r="1757" spans="4:4">
      <c r="D1757" s="148"/>
    </row>
    <row r="1758" spans="4:4">
      <c r="D1758" s="148"/>
    </row>
    <row r="1759" spans="4:4">
      <c r="D1759" s="148"/>
    </row>
    <row r="1760" spans="4:4">
      <c r="D1760" s="148"/>
    </row>
    <row r="1761" spans="4:4">
      <c r="D1761" s="148"/>
    </row>
    <row r="1762" spans="4:4">
      <c r="D1762" s="148"/>
    </row>
    <row r="1763" spans="4:4">
      <c r="D1763" s="148"/>
    </row>
    <row r="1764" spans="4:4">
      <c r="D1764" s="148"/>
    </row>
    <row r="1765" spans="4:4">
      <c r="D1765" s="148"/>
    </row>
    <row r="1766" spans="4:4">
      <c r="D1766" s="148"/>
    </row>
    <row r="1767" spans="4:4">
      <c r="D1767" s="148"/>
    </row>
    <row r="1768" spans="4:4">
      <c r="D1768" s="148"/>
    </row>
    <row r="1769" spans="4:4">
      <c r="D1769" s="148"/>
    </row>
    <row r="1770" spans="4:4">
      <c r="D1770" s="148"/>
    </row>
    <row r="1771" spans="4:4">
      <c r="D1771" s="148"/>
    </row>
    <row r="1772" spans="4:4">
      <c r="D1772" s="148"/>
    </row>
    <row r="1773" spans="4:4">
      <c r="D1773" s="148"/>
    </row>
    <row r="1774" spans="4:4">
      <c r="D1774" s="148"/>
    </row>
    <row r="1775" spans="4:4">
      <c r="D1775" s="148"/>
    </row>
    <row r="1776" spans="4:4">
      <c r="D1776" s="148"/>
    </row>
    <row r="1777" spans="4:4">
      <c r="D1777" s="148"/>
    </row>
    <row r="1778" spans="4:4">
      <c r="D1778" s="148"/>
    </row>
    <row r="1779" spans="4:4">
      <c r="D1779" s="148"/>
    </row>
    <row r="1780" spans="4:4">
      <c r="D1780" s="148"/>
    </row>
    <row r="1781" spans="4:4">
      <c r="D1781" s="148"/>
    </row>
    <row r="1782" spans="4:4">
      <c r="D1782" s="148"/>
    </row>
    <row r="1783" spans="4:4">
      <c r="D1783" s="148"/>
    </row>
    <row r="1784" spans="4:4">
      <c r="D1784" s="148"/>
    </row>
    <row r="1785" spans="4:4">
      <c r="D1785" s="148"/>
    </row>
    <row r="1786" spans="4:4">
      <c r="D1786" s="148"/>
    </row>
    <row r="1787" spans="4:4">
      <c r="D1787" s="148"/>
    </row>
    <row r="1788" spans="4:4">
      <c r="D1788" s="148"/>
    </row>
    <row r="1789" spans="4:4">
      <c r="D1789" s="148"/>
    </row>
    <row r="1790" spans="4:4">
      <c r="D1790" s="148"/>
    </row>
    <row r="1791" spans="4:4">
      <c r="D1791" s="148"/>
    </row>
    <row r="1792" spans="4:4">
      <c r="D1792" s="148"/>
    </row>
    <row r="1793" spans="4:4">
      <c r="D1793" s="148"/>
    </row>
    <row r="1794" spans="4:4">
      <c r="D1794" s="148"/>
    </row>
    <row r="1795" spans="4:4">
      <c r="D1795" s="148"/>
    </row>
    <row r="1796" spans="4:4">
      <c r="D1796" s="148"/>
    </row>
    <row r="1797" spans="4:4">
      <c r="D1797" s="148"/>
    </row>
    <row r="1798" spans="4:4">
      <c r="D1798" s="148"/>
    </row>
    <row r="1799" spans="4:4">
      <c r="D1799" s="148"/>
    </row>
    <row r="1800" spans="4:4">
      <c r="D1800" s="148"/>
    </row>
    <row r="1801" spans="4:4">
      <c r="D1801" s="148"/>
    </row>
    <row r="1802" spans="4:4">
      <c r="D1802" s="148"/>
    </row>
    <row r="1803" spans="4:4">
      <c r="D1803" s="148"/>
    </row>
    <row r="1804" spans="4:4">
      <c r="D1804" s="148"/>
    </row>
    <row r="1805" spans="4:4">
      <c r="D1805" s="148"/>
    </row>
    <row r="1806" spans="4:4">
      <c r="D1806" s="148"/>
    </row>
    <row r="1807" spans="4:4">
      <c r="D1807" s="148"/>
    </row>
    <row r="1808" spans="4:4">
      <c r="D1808" s="148"/>
    </row>
    <row r="1809" spans="4:4">
      <c r="D1809" s="148"/>
    </row>
    <row r="1810" spans="4:4">
      <c r="D1810" s="148"/>
    </row>
    <row r="1811" spans="4:4">
      <c r="D1811" s="148"/>
    </row>
    <row r="1812" spans="4:4">
      <c r="D1812" s="148"/>
    </row>
    <row r="1813" spans="4:4">
      <c r="D1813" s="148"/>
    </row>
    <row r="1814" spans="4:4">
      <c r="D1814" s="148"/>
    </row>
    <row r="1815" spans="4:4">
      <c r="D1815" s="148"/>
    </row>
    <row r="1816" spans="4:4">
      <c r="D1816" s="148"/>
    </row>
    <row r="1817" spans="4:4">
      <c r="D1817" s="148"/>
    </row>
    <row r="1818" spans="4:4">
      <c r="D1818" s="148"/>
    </row>
    <row r="1819" spans="4:4">
      <c r="D1819" s="148"/>
    </row>
    <row r="1820" spans="4:4">
      <c r="D1820" s="148"/>
    </row>
    <row r="1821" spans="4:4">
      <c r="D1821" s="148"/>
    </row>
    <row r="1822" spans="4:4">
      <c r="D1822" s="148"/>
    </row>
    <row r="1823" spans="4:4">
      <c r="D1823" s="148"/>
    </row>
    <row r="1824" spans="4:4">
      <c r="D1824" s="148"/>
    </row>
    <row r="1825" spans="4:4">
      <c r="D1825" s="148"/>
    </row>
    <row r="1826" spans="4:4">
      <c r="D1826" s="148"/>
    </row>
    <row r="1827" spans="4:4">
      <c r="D1827" s="148"/>
    </row>
    <row r="1828" spans="4:4">
      <c r="D1828" s="148"/>
    </row>
    <row r="1829" spans="4:4">
      <c r="D1829" s="148"/>
    </row>
    <row r="1830" spans="4:4">
      <c r="D1830" s="148"/>
    </row>
    <row r="1831" spans="4:4">
      <c r="D1831" s="148"/>
    </row>
    <row r="1832" spans="4:4">
      <c r="D1832" s="148"/>
    </row>
    <row r="1833" spans="4:4">
      <c r="D1833" s="148"/>
    </row>
    <row r="1834" spans="4:4">
      <c r="D1834" s="148"/>
    </row>
    <row r="1835" spans="4:4">
      <c r="D1835" s="148"/>
    </row>
    <row r="1836" spans="4:4">
      <c r="D1836" s="148"/>
    </row>
    <row r="1837" spans="4:4">
      <c r="D1837" s="148"/>
    </row>
    <row r="1838" spans="4:4">
      <c r="D1838" s="148"/>
    </row>
    <row r="1839" spans="4:4">
      <c r="D1839" s="148"/>
    </row>
    <row r="1840" spans="4:4">
      <c r="D1840" s="148"/>
    </row>
    <row r="1841" spans="4:4">
      <c r="D1841" s="148"/>
    </row>
    <row r="1842" spans="4:4">
      <c r="D1842" s="148"/>
    </row>
    <row r="1843" spans="4:4">
      <c r="D1843" s="148"/>
    </row>
    <row r="1844" spans="4:4">
      <c r="D1844" s="148"/>
    </row>
    <row r="1845" spans="4:4">
      <c r="D1845" s="148"/>
    </row>
    <row r="1846" spans="4:4">
      <c r="D1846" s="148"/>
    </row>
    <row r="1847" spans="4:4">
      <c r="D1847" s="148"/>
    </row>
    <row r="1848" spans="4:4">
      <c r="D1848" s="148"/>
    </row>
    <row r="1849" spans="4:4">
      <c r="D1849" s="148"/>
    </row>
    <row r="1850" spans="4:4">
      <c r="D1850" s="148"/>
    </row>
    <row r="1851" spans="4:4">
      <c r="D1851" s="148"/>
    </row>
    <row r="1852" spans="4:4">
      <c r="D1852" s="148"/>
    </row>
    <row r="1853" spans="4:4">
      <c r="D1853" s="148"/>
    </row>
    <row r="1854" spans="4:4">
      <c r="D1854" s="148"/>
    </row>
    <row r="1855" spans="4:4">
      <c r="D1855" s="148"/>
    </row>
    <row r="1856" spans="4:4">
      <c r="D1856" s="148"/>
    </row>
    <row r="1857" spans="4:4">
      <c r="D1857" s="148"/>
    </row>
    <row r="1858" spans="4:4">
      <c r="D1858" s="148"/>
    </row>
    <row r="1859" spans="4:4">
      <c r="D1859" s="148"/>
    </row>
    <row r="1860" spans="4:4">
      <c r="D1860" s="148"/>
    </row>
    <row r="1861" spans="4:4">
      <c r="D1861" s="148"/>
    </row>
    <row r="1862" spans="4:4">
      <c r="D1862" s="148"/>
    </row>
    <row r="1863" spans="4:4">
      <c r="D1863" s="148"/>
    </row>
    <row r="1864" spans="4:4">
      <c r="D1864" s="148"/>
    </row>
    <row r="1865" spans="4:4">
      <c r="D1865" s="148"/>
    </row>
    <row r="1866" spans="4:4">
      <c r="D1866" s="148"/>
    </row>
    <row r="1867" spans="4:4">
      <c r="D1867" s="148"/>
    </row>
    <row r="1868" spans="4:4">
      <c r="D1868" s="148"/>
    </row>
    <row r="1869" spans="4:4">
      <c r="D1869" s="148"/>
    </row>
    <row r="1870" spans="4:4">
      <c r="D1870" s="148"/>
    </row>
    <row r="1871" spans="4:4">
      <c r="D1871" s="148"/>
    </row>
    <row r="1872" spans="4:4">
      <c r="D1872" s="148"/>
    </row>
    <row r="1873" spans="4:4">
      <c r="D1873" s="148"/>
    </row>
    <row r="1874" spans="4:4">
      <c r="D1874" s="148"/>
    </row>
    <row r="1875" spans="4:4">
      <c r="D1875" s="148"/>
    </row>
    <row r="1876" spans="4:4">
      <c r="D1876" s="148"/>
    </row>
    <row r="1877" spans="4:4">
      <c r="D1877" s="148"/>
    </row>
    <row r="1878" spans="4:4">
      <c r="D1878" s="148"/>
    </row>
    <row r="1879" spans="4:4">
      <c r="D1879" s="148"/>
    </row>
    <row r="1880" spans="4:4">
      <c r="D1880" s="148"/>
    </row>
    <row r="1881" spans="4:4">
      <c r="D1881" s="148"/>
    </row>
    <row r="1882" spans="4:4">
      <c r="D1882" s="148"/>
    </row>
    <row r="1883" spans="4:4">
      <c r="D1883" s="148"/>
    </row>
    <row r="1884" spans="4:4">
      <c r="D1884" s="148"/>
    </row>
    <row r="1885" spans="4:4">
      <c r="D1885" s="148"/>
    </row>
    <row r="1886" spans="4:4">
      <c r="D1886" s="148"/>
    </row>
    <row r="1887" spans="4:4">
      <c r="D1887" s="148"/>
    </row>
    <row r="1888" spans="4:4">
      <c r="D1888" s="148"/>
    </row>
    <row r="1889" spans="4:4">
      <c r="D1889" s="148"/>
    </row>
    <row r="1890" spans="4:4">
      <c r="D1890" s="148"/>
    </row>
    <row r="1891" spans="4:4">
      <c r="D1891" s="148"/>
    </row>
    <row r="1892" spans="4:4">
      <c r="D1892" s="148"/>
    </row>
    <row r="1893" spans="4:4">
      <c r="D1893" s="148"/>
    </row>
    <row r="1894" spans="4:4">
      <c r="D1894" s="148"/>
    </row>
    <row r="1895" spans="4:4">
      <c r="D1895" s="148"/>
    </row>
    <row r="1896" spans="4:4">
      <c r="D1896" s="148"/>
    </row>
    <row r="1897" spans="4:4">
      <c r="D1897" s="148"/>
    </row>
    <row r="1898" spans="4:4">
      <c r="D1898" s="148"/>
    </row>
    <row r="1899" spans="4:4">
      <c r="D1899" s="148"/>
    </row>
    <row r="1900" spans="4:4">
      <c r="D1900" s="148"/>
    </row>
    <row r="1901" spans="4:4">
      <c r="D1901" s="148"/>
    </row>
    <row r="1902" spans="4:4">
      <c r="D1902" s="148"/>
    </row>
    <row r="1903" spans="4:4">
      <c r="D1903" s="148"/>
    </row>
    <row r="1904" spans="4:4">
      <c r="D1904" s="148"/>
    </row>
    <row r="1905" spans="4:4">
      <c r="D1905" s="148"/>
    </row>
    <row r="1906" spans="4:4">
      <c r="D1906" s="148"/>
    </row>
    <row r="1907" spans="4:4">
      <c r="D1907" s="148"/>
    </row>
    <row r="1908" spans="4:4">
      <c r="D1908" s="148"/>
    </row>
    <row r="1909" spans="4:4">
      <c r="D1909" s="148"/>
    </row>
    <row r="1910" spans="4:4">
      <c r="D1910" s="148"/>
    </row>
    <row r="1911" spans="4:4">
      <c r="D1911" s="148"/>
    </row>
    <row r="1912" spans="4:4">
      <c r="D1912" s="148"/>
    </row>
    <row r="1913" spans="4:4">
      <c r="D1913" s="148"/>
    </row>
    <row r="1914" spans="4:4">
      <c r="D1914" s="148"/>
    </row>
    <row r="1915" spans="4:4">
      <c r="D1915" s="148"/>
    </row>
    <row r="1916" spans="4:4">
      <c r="D1916" s="148"/>
    </row>
    <row r="1917" spans="4:4">
      <c r="D1917" s="148"/>
    </row>
    <row r="1918" spans="4:4">
      <c r="D1918" s="148"/>
    </row>
    <row r="1919" spans="4:4">
      <c r="D1919" s="148"/>
    </row>
    <row r="1920" spans="4:4">
      <c r="D1920" s="148"/>
    </row>
    <row r="1921" spans="4:4">
      <c r="D1921" s="148"/>
    </row>
    <row r="1922" spans="4:4">
      <c r="D1922" s="148"/>
    </row>
    <row r="1923" spans="4:4">
      <c r="D1923" s="148"/>
    </row>
    <row r="1924" spans="4:4">
      <c r="D1924" s="148"/>
    </row>
    <row r="1925" spans="4:4">
      <c r="D1925" s="148"/>
    </row>
    <row r="1926" spans="4:4">
      <c r="D1926" s="148"/>
    </row>
    <row r="1927" spans="4:4">
      <c r="D1927" s="148"/>
    </row>
    <row r="1928" spans="4:4">
      <c r="D1928" s="148"/>
    </row>
    <row r="1929" spans="4:4">
      <c r="D1929" s="148"/>
    </row>
    <row r="1930" spans="4:4">
      <c r="D1930" s="148"/>
    </row>
    <row r="1931" spans="4:4">
      <c r="D1931" s="148"/>
    </row>
    <row r="1932" spans="4:4">
      <c r="D1932" s="148"/>
    </row>
    <row r="1933" spans="4:4">
      <c r="D1933" s="148"/>
    </row>
    <row r="1934" spans="4:4">
      <c r="D1934" s="148"/>
    </row>
    <row r="1935" spans="4:4">
      <c r="D1935" s="148"/>
    </row>
    <row r="1936" spans="4:4">
      <c r="D1936" s="148"/>
    </row>
    <row r="1937" spans="4:4">
      <c r="D1937" s="148"/>
    </row>
    <row r="1938" spans="4:4">
      <c r="D1938" s="148"/>
    </row>
    <row r="1939" spans="4:4">
      <c r="D1939" s="148"/>
    </row>
    <row r="1940" spans="4:4">
      <c r="D1940" s="148"/>
    </row>
    <row r="1941" spans="4:4">
      <c r="D1941" s="148"/>
    </row>
    <row r="1942" spans="4:4">
      <c r="D1942" s="148"/>
    </row>
    <row r="1943" spans="4:4">
      <c r="D1943" s="148"/>
    </row>
    <row r="1944" spans="4:4">
      <c r="D1944" s="148"/>
    </row>
    <row r="1945" spans="4:4">
      <c r="D1945" s="148"/>
    </row>
    <row r="1946" spans="4:4">
      <c r="D1946" s="148"/>
    </row>
    <row r="1947" spans="4:4">
      <c r="D1947" s="148"/>
    </row>
    <row r="1948" spans="4:4">
      <c r="D1948" s="148"/>
    </row>
    <row r="1949" spans="4:4">
      <c r="D1949" s="148"/>
    </row>
    <row r="1950" spans="4:4">
      <c r="D1950" s="148"/>
    </row>
    <row r="1951" spans="4:4">
      <c r="D1951" s="148"/>
    </row>
    <row r="1952" spans="4:4">
      <c r="D1952" s="148"/>
    </row>
    <row r="1953" spans="4:4">
      <c r="D1953" s="148"/>
    </row>
    <row r="1954" spans="4:4">
      <c r="D1954" s="148"/>
    </row>
    <row r="1955" spans="4:4">
      <c r="D1955" s="148"/>
    </row>
    <row r="1956" spans="4:4">
      <c r="D1956" s="148"/>
    </row>
    <row r="1957" spans="4:4">
      <c r="D1957" s="148"/>
    </row>
    <row r="1958" spans="4:4">
      <c r="D1958" s="148"/>
    </row>
    <row r="1959" spans="4:4">
      <c r="D1959" s="148"/>
    </row>
    <row r="1960" spans="4:4">
      <c r="D1960" s="148"/>
    </row>
    <row r="1961" spans="4:4">
      <c r="D1961" s="148"/>
    </row>
    <row r="1962" spans="4:4">
      <c r="D1962" s="148"/>
    </row>
    <row r="1963" spans="4:4">
      <c r="D1963" s="148"/>
    </row>
    <row r="1964" spans="4:4">
      <c r="D1964" s="148"/>
    </row>
    <row r="1965" spans="4:4">
      <c r="D1965" s="148"/>
    </row>
    <row r="1966" spans="4:4">
      <c r="D1966" s="148"/>
    </row>
    <row r="1967" spans="4:4">
      <c r="D1967" s="148"/>
    </row>
    <row r="1968" spans="4:4">
      <c r="D1968" s="148"/>
    </row>
    <row r="1969" spans="4:4">
      <c r="D1969" s="148"/>
    </row>
    <row r="1970" spans="4:4">
      <c r="D1970" s="148"/>
    </row>
    <row r="1971" spans="4:4">
      <c r="D1971" s="148"/>
    </row>
    <row r="1972" spans="4:4">
      <c r="D1972" s="148"/>
    </row>
    <row r="1973" spans="4:4">
      <c r="D1973" s="148"/>
    </row>
    <row r="1974" spans="4:4">
      <c r="D1974" s="148"/>
    </row>
    <row r="1975" spans="4:4">
      <c r="D1975" s="148"/>
    </row>
    <row r="1976" spans="4:4">
      <c r="D1976" s="148"/>
    </row>
    <row r="1977" spans="4:4">
      <c r="D1977" s="148"/>
    </row>
    <row r="1978" spans="4:4">
      <c r="D1978" s="148"/>
    </row>
    <row r="1979" spans="4:4">
      <c r="D1979" s="148"/>
    </row>
    <row r="1980" spans="4:4">
      <c r="D1980" s="148"/>
    </row>
    <row r="1981" spans="4:4">
      <c r="D1981" s="148"/>
    </row>
    <row r="1982" spans="4:4">
      <c r="D1982" s="148"/>
    </row>
    <row r="1983" spans="4:4">
      <c r="D1983" s="148"/>
    </row>
    <row r="1984" spans="4:4">
      <c r="D1984" s="148"/>
    </row>
    <row r="1985" spans="4:4">
      <c r="D1985" s="148"/>
    </row>
    <row r="1986" spans="4:4">
      <c r="D1986" s="148"/>
    </row>
    <row r="1987" spans="4:4">
      <c r="D1987" s="148"/>
    </row>
    <row r="1988" spans="4:4">
      <c r="D1988" s="148"/>
    </row>
    <row r="1989" spans="4:4">
      <c r="D1989" s="148"/>
    </row>
    <row r="1990" spans="4:4">
      <c r="D1990" s="148"/>
    </row>
    <row r="1991" spans="4:4">
      <c r="D1991" s="148"/>
    </row>
    <row r="1992" spans="4:4">
      <c r="D1992" s="148"/>
    </row>
    <row r="1993" spans="4:4">
      <c r="D1993" s="148"/>
    </row>
    <row r="1994" spans="4:4">
      <c r="D1994" s="148"/>
    </row>
    <row r="1995" spans="4:4">
      <c r="D1995" s="148"/>
    </row>
    <row r="1996" spans="4:4">
      <c r="D1996" s="148"/>
    </row>
    <row r="1997" spans="4:4">
      <c r="D1997" s="148"/>
    </row>
    <row r="1998" spans="4:4">
      <c r="D1998" s="148"/>
    </row>
    <row r="1999" spans="4:4">
      <c r="D1999" s="148"/>
    </row>
    <row r="2000" spans="4:4">
      <c r="D2000" s="148"/>
    </row>
    <row r="2001" spans="4:4">
      <c r="D2001" s="148"/>
    </row>
    <row r="2002" spans="4:4">
      <c r="D2002" s="148"/>
    </row>
    <row r="2003" spans="4:4">
      <c r="D2003" s="148"/>
    </row>
    <row r="2004" spans="4:4">
      <c r="D2004" s="148"/>
    </row>
    <row r="2005" spans="4:4">
      <c r="D2005" s="148"/>
    </row>
    <row r="2006" spans="4:4">
      <c r="D2006" s="148"/>
    </row>
    <row r="2007" spans="4:4">
      <c r="D2007" s="148"/>
    </row>
    <row r="2008" spans="4:4">
      <c r="D2008" s="148"/>
    </row>
    <row r="2009" spans="4:4">
      <c r="D2009" s="148"/>
    </row>
    <row r="2010" spans="4:4">
      <c r="D2010" s="148"/>
    </row>
    <row r="2011" spans="4:4">
      <c r="D2011" s="148"/>
    </row>
    <row r="2012" spans="4:4">
      <c r="D2012" s="148"/>
    </row>
    <row r="2013" spans="4:4">
      <c r="D2013" s="148"/>
    </row>
    <row r="2014" spans="4:4">
      <c r="D2014" s="148"/>
    </row>
    <row r="2015" spans="4:4">
      <c r="D2015" s="148"/>
    </row>
    <row r="2016" spans="4:4">
      <c r="D2016" s="148"/>
    </row>
    <row r="2017" spans="4:4">
      <c r="D2017" s="148"/>
    </row>
    <row r="2018" spans="4:4">
      <c r="D2018" s="148"/>
    </row>
    <row r="2019" spans="4:4">
      <c r="D2019" s="148"/>
    </row>
    <row r="2020" spans="4:4">
      <c r="D2020" s="148"/>
    </row>
    <row r="2021" spans="4:4">
      <c r="D2021" s="148"/>
    </row>
    <row r="2022" spans="4:4">
      <c r="D2022" s="148"/>
    </row>
    <row r="2023" spans="4:4">
      <c r="D2023" s="148"/>
    </row>
    <row r="2024" spans="4:4">
      <c r="D2024" s="148"/>
    </row>
    <row r="2025" spans="4:4">
      <c r="D2025" s="148"/>
    </row>
    <row r="2026" spans="4:4">
      <c r="D2026" s="148"/>
    </row>
    <row r="2027" spans="4:4">
      <c r="D2027" s="148"/>
    </row>
    <row r="2028" spans="4:4">
      <c r="D2028" s="148"/>
    </row>
    <row r="2029" spans="4:4">
      <c r="D2029" s="148"/>
    </row>
    <row r="2030" spans="4:4">
      <c r="D2030" s="148"/>
    </row>
    <row r="2031" spans="4:4">
      <c r="D2031" s="148"/>
    </row>
    <row r="2032" spans="4:4">
      <c r="D2032" s="148"/>
    </row>
    <row r="2033" spans="4:4">
      <c r="D2033" s="148"/>
    </row>
    <row r="2034" spans="4:4">
      <c r="D2034" s="148"/>
    </row>
    <row r="2035" spans="4:4">
      <c r="D2035" s="148"/>
    </row>
    <row r="2036" spans="4:4">
      <c r="D2036" s="148"/>
    </row>
    <row r="2037" spans="4:4">
      <c r="D2037" s="148"/>
    </row>
    <row r="2038" spans="4:4">
      <c r="D2038" s="148"/>
    </row>
    <row r="2039" spans="4:4">
      <c r="D2039" s="148"/>
    </row>
    <row r="2040" spans="4:4">
      <c r="D2040" s="148"/>
    </row>
    <row r="2041" spans="4:4">
      <c r="D2041" s="148"/>
    </row>
    <row r="2042" spans="4:4">
      <c r="D2042" s="148"/>
    </row>
    <row r="2043" spans="4:4">
      <c r="D2043" s="148"/>
    </row>
    <row r="2044" spans="4:4">
      <c r="D2044" s="148"/>
    </row>
    <row r="2045" spans="4:4">
      <c r="D2045" s="148"/>
    </row>
    <row r="2046" spans="4:4">
      <c r="D2046" s="148"/>
    </row>
    <row r="2047" spans="4:4">
      <c r="D2047" s="148"/>
    </row>
    <row r="2048" spans="4:4">
      <c r="D2048" s="148"/>
    </row>
    <row r="2049" spans="4:4">
      <c r="D2049" s="148"/>
    </row>
    <row r="2050" spans="4:4">
      <c r="D2050" s="148"/>
    </row>
    <row r="2051" spans="4:4">
      <c r="D2051" s="148"/>
    </row>
    <row r="2052" spans="4:4">
      <c r="D2052" s="148"/>
    </row>
    <row r="2053" spans="4:4">
      <c r="D2053" s="148"/>
    </row>
    <row r="2054" spans="4:4">
      <c r="D2054" s="148"/>
    </row>
    <row r="2055" spans="4:4">
      <c r="D2055" s="148"/>
    </row>
    <row r="2056" spans="4:4">
      <c r="D2056" s="148"/>
    </row>
    <row r="2057" spans="4:4">
      <c r="D2057" s="148"/>
    </row>
    <row r="2058" spans="4:4">
      <c r="D2058" s="148"/>
    </row>
    <row r="2059" spans="4:4">
      <c r="D2059" s="148"/>
    </row>
    <row r="2060" spans="4:4">
      <c r="D2060" s="148"/>
    </row>
    <row r="2061" spans="4:4">
      <c r="D2061" s="148"/>
    </row>
    <row r="2062" spans="4:4">
      <c r="D2062" s="148"/>
    </row>
    <row r="2063" spans="4:4">
      <c r="D2063" s="148"/>
    </row>
    <row r="2064" spans="4:4">
      <c r="D2064" s="148"/>
    </row>
    <row r="2065" spans="4:4">
      <c r="D2065" s="148"/>
    </row>
    <row r="2066" spans="4:4">
      <c r="D2066" s="148"/>
    </row>
    <row r="2067" spans="4:4">
      <c r="D2067" s="148"/>
    </row>
    <row r="2068" spans="4:4">
      <c r="D2068" s="148"/>
    </row>
    <row r="2069" spans="4:4">
      <c r="D2069" s="148"/>
    </row>
    <row r="2070" spans="4:4">
      <c r="D2070" s="148"/>
    </row>
    <row r="2071" spans="4:4">
      <c r="D2071" s="148"/>
    </row>
    <row r="2072" spans="4:4">
      <c r="D2072" s="148"/>
    </row>
    <row r="2073" spans="4:4">
      <c r="D2073" s="148"/>
    </row>
    <row r="2074" spans="4:4">
      <c r="D2074" s="148"/>
    </row>
    <row r="2075" spans="4:4">
      <c r="D2075" s="148"/>
    </row>
    <row r="2076" spans="4:4">
      <c r="D2076" s="148"/>
    </row>
    <row r="2077" spans="4:4">
      <c r="D2077" s="148"/>
    </row>
    <row r="2078" spans="4:4">
      <c r="D2078" s="148"/>
    </row>
    <row r="2079" spans="4:4">
      <c r="D2079" s="148"/>
    </row>
    <row r="2080" spans="4:4">
      <c r="D2080" s="148"/>
    </row>
    <row r="2081" spans="4:4">
      <c r="D2081" s="148"/>
    </row>
    <row r="2082" spans="4:4">
      <c r="D2082" s="148"/>
    </row>
    <row r="2083" spans="4:4">
      <c r="D2083" s="148"/>
    </row>
    <row r="2084" spans="4:4">
      <c r="D2084" s="148"/>
    </row>
    <row r="2085" spans="4:4">
      <c r="D2085" s="148"/>
    </row>
    <row r="2086" spans="4:4">
      <c r="D2086" s="148"/>
    </row>
    <row r="2087" spans="4:4">
      <c r="D2087" s="148"/>
    </row>
    <row r="2088" spans="4:4">
      <c r="D2088" s="148"/>
    </row>
    <row r="2089" spans="4:4">
      <c r="D2089" s="148"/>
    </row>
    <row r="2090" spans="4:4">
      <c r="D2090" s="148"/>
    </row>
    <row r="2091" spans="4:4">
      <c r="D2091" s="148"/>
    </row>
    <row r="2092" spans="4:4">
      <c r="D2092" s="148"/>
    </row>
    <row r="2093" spans="4:4">
      <c r="D2093" s="148"/>
    </row>
    <row r="2094" spans="4:4">
      <c r="D2094" s="148"/>
    </row>
    <row r="2095" spans="4:4">
      <c r="D2095" s="148"/>
    </row>
    <row r="2096" spans="4:4">
      <c r="D2096" s="148"/>
    </row>
    <row r="2097" spans="4:4">
      <c r="D2097" s="148"/>
    </row>
    <row r="2098" spans="4:4">
      <c r="D2098" s="148"/>
    </row>
    <row r="2099" spans="4:4">
      <c r="D2099" s="148"/>
    </row>
    <row r="2100" spans="4:4">
      <c r="D2100" s="148"/>
    </row>
    <row r="2101" spans="4:4">
      <c r="D2101" s="148"/>
    </row>
    <row r="2102" spans="4:4">
      <c r="D2102" s="148"/>
    </row>
    <row r="2103" spans="4:4">
      <c r="D2103" s="148"/>
    </row>
    <row r="2104" spans="4:4">
      <c r="D2104" s="148"/>
    </row>
    <row r="2105" spans="4:4">
      <c r="D2105" s="148"/>
    </row>
    <row r="2106" spans="4:4">
      <c r="D2106" s="148"/>
    </row>
    <row r="2107" spans="4:4">
      <c r="D2107" s="148"/>
    </row>
    <row r="2108" spans="4:4">
      <c r="D2108" s="148"/>
    </row>
    <row r="2109" spans="4:4">
      <c r="D2109" s="148"/>
    </row>
    <row r="2110" spans="4:4">
      <c r="D2110" s="148"/>
    </row>
    <row r="2111" spans="4:4">
      <c r="D2111" s="148"/>
    </row>
    <row r="2112" spans="4:4">
      <c r="D2112" s="148"/>
    </row>
    <row r="2113" spans="4:4">
      <c r="D2113" s="148"/>
    </row>
    <row r="2114" spans="4:4">
      <c r="D2114" s="148"/>
    </row>
    <row r="2115" spans="4:4">
      <c r="D2115" s="148"/>
    </row>
    <row r="2116" spans="4:4">
      <c r="D2116" s="148"/>
    </row>
    <row r="2117" spans="4:4">
      <c r="D2117" s="148"/>
    </row>
    <row r="2118" spans="4:4">
      <c r="D2118" s="148"/>
    </row>
    <row r="2119" spans="4:4">
      <c r="D2119" s="148"/>
    </row>
    <row r="2120" spans="4:4">
      <c r="D2120" s="148"/>
    </row>
    <row r="2121" spans="4:4">
      <c r="D2121" s="148"/>
    </row>
    <row r="2122" spans="4:4">
      <c r="D2122" s="148"/>
    </row>
    <row r="2123" spans="4:4">
      <c r="D2123" s="148"/>
    </row>
    <row r="2124" spans="4:4">
      <c r="D2124" s="148"/>
    </row>
    <row r="2125" spans="4:4">
      <c r="D2125" s="148"/>
    </row>
    <row r="2126" spans="4:4">
      <c r="D2126" s="148"/>
    </row>
    <row r="2127" spans="4:4">
      <c r="D2127" s="148"/>
    </row>
    <row r="2128" spans="4:4">
      <c r="D2128" s="148"/>
    </row>
    <row r="2129" spans="4:4">
      <c r="D2129" s="148"/>
    </row>
    <row r="2130" spans="4:4">
      <c r="D2130" s="148"/>
    </row>
    <row r="2131" spans="4:4">
      <c r="D2131" s="148"/>
    </row>
    <row r="2132" spans="4:4">
      <c r="D2132" s="148"/>
    </row>
    <row r="2133" spans="4:4">
      <c r="D2133" s="148"/>
    </row>
    <row r="2134" spans="4:4">
      <c r="D2134" s="148"/>
    </row>
    <row r="2135" spans="4:4">
      <c r="D2135" s="148"/>
    </row>
    <row r="2136" spans="4:4">
      <c r="D2136" s="148"/>
    </row>
    <row r="2137" spans="4:4">
      <c r="D2137" s="148"/>
    </row>
    <row r="2138" spans="4:4">
      <c r="D2138" s="148"/>
    </row>
    <row r="2139" spans="4:4">
      <c r="D2139" s="148"/>
    </row>
    <row r="2140" spans="4:4">
      <c r="D2140" s="148"/>
    </row>
    <row r="2141" spans="4:4">
      <c r="D2141" s="148"/>
    </row>
    <row r="2142" spans="4:4">
      <c r="D2142" s="148"/>
    </row>
    <row r="2143" spans="4:4">
      <c r="D2143" s="148"/>
    </row>
    <row r="2144" spans="4:4">
      <c r="D2144" s="148"/>
    </row>
    <row r="2145" spans="4:4">
      <c r="D2145" s="148"/>
    </row>
    <row r="2146" spans="4:4">
      <c r="D2146" s="148"/>
    </row>
    <row r="2147" spans="4:4">
      <c r="D2147" s="148"/>
    </row>
    <row r="2148" spans="4:4">
      <c r="D2148" s="148"/>
    </row>
    <row r="2149" spans="4:4">
      <c r="D2149" s="148"/>
    </row>
    <row r="2150" spans="4:4">
      <c r="D2150" s="148"/>
    </row>
    <row r="2151" spans="4:4">
      <c r="D2151" s="148"/>
    </row>
    <row r="2152" spans="4:4">
      <c r="D2152" s="148"/>
    </row>
    <row r="2153" spans="4:4">
      <c r="D2153" s="148"/>
    </row>
    <row r="2154" spans="4:4">
      <c r="D2154" s="148"/>
    </row>
    <row r="2155" spans="4:4">
      <c r="D2155" s="148"/>
    </row>
    <row r="2156" spans="4:4">
      <c r="D2156" s="148"/>
    </row>
    <row r="2157" spans="4:4">
      <c r="D2157" s="148"/>
    </row>
    <row r="2158" spans="4:4">
      <c r="D2158" s="148"/>
    </row>
    <row r="2159" spans="4:4">
      <c r="D2159" s="148"/>
    </row>
    <row r="2160" spans="4:4">
      <c r="D2160" s="148"/>
    </row>
    <row r="2161" spans="4:4">
      <c r="D2161" s="148"/>
    </row>
    <row r="2162" spans="4:4">
      <c r="D2162" s="148"/>
    </row>
    <row r="2163" spans="4:4">
      <c r="D2163" s="148"/>
    </row>
    <row r="2164" spans="4:4">
      <c r="D2164" s="148"/>
    </row>
    <row r="2165" spans="4:4">
      <c r="D2165" s="148"/>
    </row>
    <row r="2166" spans="4:4">
      <c r="D2166" s="148"/>
    </row>
    <row r="2167" spans="4:4">
      <c r="D2167" s="148"/>
    </row>
    <row r="2168" spans="4:4">
      <c r="D2168" s="148"/>
    </row>
    <row r="2169" spans="4:4">
      <c r="D2169" s="148"/>
    </row>
    <row r="2170" spans="4:4">
      <c r="D2170" s="148"/>
    </row>
    <row r="2171" spans="4:4">
      <c r="D2171" s="148"/>
    </row>
    <row r="2172" spans="4:4">
      <c r="D2172" s="148"/>
    </row>
    <row r="2173" spans="4:4">
      <c r="D2173" s="148"/>
    </row>
    <row r="2174" spans="4:4">
      <c r="D2174" s="148"/>
    </row>
    <row r="2175" spans="4:4">
      <c r="D2175" s="148"/>
    </row>
    <row r="2176" spans="4:4">
      <c r="D2176" s="148"/>
    </row>
    <row r="2177" spans="4:4">
      <c r="D2177" s="148"/>
    </row>
    <row r="2178" spans="4:4">
      <c r="D2178" s="148"/>
    </row>
    <row r="2179" spans="4:4">
      <c r="D2179" s="148"/>
    </row>
    <row r="2180" spans="4:4">
      <c r="D2180" s="148"/>
    </row>
    <row r="2181" spans="4:4">
      <c r="D2181" s="148"/>
    </row>
    <row r="2182" spans="4:4">
      <c r="D2182" s="148"/>
    </row>
    <row r="2183" spans="4:4">
      <c r="D2183" s="148"/>
    </row>
    <row r="2184" spans="4:4">
      <c r="D2184" s="148"/>
    </row>
    <row r="2185" spans="4:4">
      <c r="D2185" s="148"/>
    </row>
    <row r="2186" spans="4:4">
      <c r="D2186" s="148"/>
    </row>
    <row r="2187" spans="4:4">
      <c r="D2187" s="148"/>
    </row>
    <row r="2188" spans="4:4">
      <c r="D2188" s="148"/>
    </row>
    <row r="2189" spans="4:4">
      <c r="D2189" s="148"/>
    </row>
    <row r="2190" spans="4:4">
      <c r="D2190" s="148"/>
    </row>
    <row r="2191" spans="4:4">
      <c r="D2191" s="148"/>
    </row>
    <row r="2192" spans="4:4">
      <c r="D2192" s="148"/>
    </row>
    <row r="2193" spans="4:4">
      <c r="D2193" s="148"/>
    </row>
    <row r="2194" spans="4:4">
      <c r="D2194" s="148"/>
    </row>
    <row r="2195" spans="4:4">
      <c r="D2195" s="148"/>
    </row>
    <row r="2196" spans="4:4">
      <c r="D2196" s="148"/>
    </row>
    <row r="2197" spans="4:4">
      <c r="D2197" s="148"/>
    </row>
    <row r="2198" spans="4:4">
      <c r="D2198" s="148"/>
    </row>
    <row r="2199" spans="4:4">
      <c r="D2199" s="148"/>
    </row>
    <row r="2200" spans="4:4">
      <c r="D2200" s="148"/>
    </row>
    <row r="2201" spans="4:4">
      <c r="D2201" s="148"/>
    </row>
    <row r="2202" spans="4:4">
      <c r="D2202" s="148"/>
    </row>
    <row r="2203" spans="4:4">
      <c r="D2203" s="148"/>
    </row>
    <row r="2204" spans="4:4">
      <c r="D2204" s="148"/>
    </row>
    <row r="2205" spans="4:4">
      <c r="D2205" s="148"/>
    </row>
    <row r="2206" spans="4:4">
      <c r="D2206" s="148"/>
    </row>
    <row r="2207" spans="4:4">
      <c r="D2207" s="148"/>
    </row>
    <row r="2208" spans="4:4">
      <c r="D2208" s="148"/>
    </row>
    <row r="2209" spans="4:4">
      <c r="D2209" s="148"/>
    </row>
    <row r="2210" spans="4:4">
      <c r="D2210" s="148"/>
    </row>
    <row r="2211" spans="4:4">
      <c r="D2211" s="148"/>
    </row>
    <row r="2212" spans="4:4">
      <c r="D2212" s="148"/>
    </row>
    <row r="2213" spans="4:4">
      <c r="D2213" s="148"/>
    </row>
    <row r="2214" spans="4:4">
      <c r="D2214" s="148"/>
    </row>
    <row r="2215" spans="4:4">
      <c r="D2215" s="148"/>
    </row>
    <row r="2216" spans="4:4">
      <c r="D2216" s="148"/>
    </row>
    <row r="2217" spans="4:4">
      <c r="D2217" s="148"/>
    </row>
    <row r="2218" spans="4:4">
      <c r="D2218" s="148"/>
    </row>
    <row r="2219" spans="4:4">
      <c r="D2219" s="148"/>
    </row>
    <row r="2220" spans="4:4">
      <c r="D2220" s="148"/>
    </row>
    <row r="2221" spans="4:4">
      <c r="D2221" s="148"/>
    </row>
    <row r="2222" spans="4:4">
      <c r="D2222" s="148"/>
    </row>
    <row r="2223" spans="4:4">
      <c r="D2223" s="148"/>
    </row>
    <row r="2224" spans="4:4">
      <c r="D2224" s="148"/>
    </row>
    <row r="2225" spans="4:4">
      <c r="D2225" s="148"/>
    </row>
    <row r="2226" spans="4:4">
      <c r="D2226" s="148"/>
    </row>
    <row r="2227" spans="4:4">
      <c r="D2227" s="148"/>
    </row>
    <row r="2228" spans="4:4">
      <c r="D2228" s="148"/>
    </row>
    <row r="2229" spans="4:4">
      <c r="D2229" s="148"/>
    </row>
    <row r="2230" spans="4:4">
      <c r="D2230" s="148"/>
    </row>
    <row r="2231" spans="4:4">
      <c r="D2231" s="148"/>
    </row>
    <row r="2232" spans="4:4">
      <c r="D2232" s="148"/>
    </row>
    <row r="2233" spans="4:4">
      <c r="D2233" s="148"/>
    </row>
    <row r="2234" spans="4:4">
      <c r="D2234" s="148"/>
    </row>
    <row r="2235" spans="4:4">
      <c r="D2235" s="148"/>
    </row>
    <row r="2236" spans="4:4">
      <c r="D2236" s="148"/>
    </row>
    <row r="2237" spans="4:4">
      <c r="D2237" s="148"/>
    </row>
    <row r="2238" spans="4:4">
      <c r="D2238" s="148"/>
    </row>
    <row r="2239" spans="4:4">
      <c r="D2239" s="148"/>
    </row>
    <row r="2240" spans="4:4">
      <c r="D2240" s="148"/>
    </row>
    <row r="2241" spans="4:4">
      <c r="D2241" s="148"/>
    </row>
    <row r="2242" spans="4:4">
      <c r="D2242" s="148"/>
    </row>
    <row r="2243" spans="4:4">
      <c r="D2243" s="148"/>
    </row>
    <row r="2244" spans="4:4">
      <c r="D2244" s="148"/>
    </row>
    <row r="2245" spans="4:4">
      <c r="D2245" s="148"/>
    </row>
    <row r="2246" spans="4:4">
      <c r="D2246" s="148"/>
    </row>
    <row r="2247" spans="4:4">
      <c r="D2247" s="148"/>
    </row>
    <row r="2248" spans="4:4">
      <c r="D2248" s="148"/>
    </row>
    <row r="2249" spans="4:4">
      <c r="D2249" s="148"/>
    </row>
    <row r="2250" spans="4:4">
      <c r="D2250" s="148"/>
    </row>
    <row r="2251" spans="4:4">
      <c r="D2251" s="148"/>
    </row>
    <row r="2252" spans="4:4">
      <c r="D2252" s="148"/>
    </row>
    <row r="2253" spans="4:4">
      <c r="D2253" s="148"/>
    </row>
    <row r="2254" spans="4:4">
      <c r="D2254" s="148"/>
    </row>
    <row r="2255" spans="4:4">
      <c r="D2255" s="148"/>
    </row>
    <row r="2256" spans="4:4">
      <c r="D2256" s="148"/>
    </row>
    <row r="2257" spans="4:4">
      <c r="D2257" s="148"/>
    </row>
    <row r="2258" spans="4:4">
      <c r="D2258" s="148"/>
    </row>
    <row r="2259" spans="4:4">
      <c r="D2259" s="148"/>
    </row>
    <row r="2260" spans="4:4">
      <c r="D2260" s="148"/>
    </row>
    <row r="2261" spans="4:4">
      <c r="D2261" s="148"/>
    </row>
    <row r="2262" spans="4:4">
      <c r="D2262" s="148"/>
    </row>
    <row r="2263" spans="4:4">
      <c r="D2263" s="148"/>
    </row>
    <row r="2264" spans="4:4">
      <c r="D2264" s="148"/>
    </row>
    <row r="2265" spans="4:4">
      <c r="D2265" s="148"/>
    </row>
    <row r="2266" spans="4:4">
      <c r="D2266" s="148"/>
    </row>
    <row r="2267" spans="4:4">
      <c r="D2267" s="148"/>
    </row>
    <row r="2268" spans="4:4">
      <c r="D2268" s="148"/>
    </row>
    <row r="2269" spans="4:4">
      <c r="D2269" s="148"/>
    </row>
    <row r="2270" spans="4:4">
      <c r="D2270" s="148"/>
    </row>
    <row r="2271" spans="4:4">
      <c r="D2271" s="148"/>
    </row>
    <row r="2272" spans="4:4">
      <c r="D2272" s="148"/>
    </row>
    <row r="2273" spans="4:4">
      <c r="D2273" s="148"/>
    </row>
    <row r="2274" spans="4:4">
      <c r="D2274" s="148"/>
    </row>
    <row r="2275" spans="4:4">
      <c r="D2275" s="148"/>
    </row>
    <row r="2276" spans="4:4">
      <c r="D2276" s="148"/>
    </row>
    <row r="2277" spans="4:4">
      <c r="D2277" s="148"/>
    </row>
    <row r="2278" spans="4:4">
      <c r="D2278" s="148"/>
    </row>
    <row r="2279" spans="4:4">
      <c r="D2279" s="148"/>
    </row>
    <row r="2280" spans="4:4">
      <c r="D2280" s="148"/>
    </row>
    <row r="2281" spans="4:4">
      <c r="D2281" s="148"/>
    </row>
    <row r="2282" spans="4:4">
      <c r="D2282" s="148"/>
    </row>
    <row r="2283" spans="4:4">
      <c r="D2283" s="148"/>
    </row>
    <row r="2284" spans="4:4">
      <c r="D2284" s="148"/>
    </row>
    <row r="2285" spans="4:4">
      <c r="D2285" s="148"/>
    </row>
    <row r="2286" spans="4:4">
      <c r="D2286" s="148"/>
    </row>
    <row r="2287" spans="4:4">
      <c r="D2287" s="148"/>
    </row>
    <row r="2288" spans="4:4">
      <c r="D2288" s="148"/>
    </row>
    <row r="2289" spans="4:4">
      <c r="D2289" s="148"/>
    </row>
    <row r="2290" spans="4:4">
      <c r="D2290" s="148"/>
    </row>
    <row r="2291" spans="4:4">
      <c r="D2291" s="148"/>
    </row>
    <row r="2292" spans="4:4">
      <c r="D2292" s="148"/>
    </row>
    <row r="2293" spans="4:4">
      <c r="D2293" s="148"/>
    </row>
    <row r="2294" spans="4:4">
      <c r="D2294" s="148"/>
    </row>
    <row r="2295" spans="4:4">
      <c r="D2295" s="148"/>
    </row>
    <row r="2296" spans="4:4">
      <c r="D2296" s="148"/>
    </row>
    <row r="2297" spans="4:4">
      <c r="D2297" s="148"/>
    </row>
    <row r="2298" spans="4:4">
      <c r="D2298" s="148"/>
    </row>
    <row r="2299" spans="4:4">
      <c r="D2299" s="148"/>
    </row>
    <row r="2300" spans="4:4">
      <c r="D2300" s="148"/>
    </row>
    <row r="2301" spans="4:4">
      <c r="D2301" s="148"/>
    </row>
    <row r="2302" spans="4:4">
      <c r="D2302" s="148"/>
    </row>
    <row r="2303" spans="4:4">
      <c r="D2303" s="148"/>
    </row>
    <row r="2304" spans="4:4">
      <c r="D2304" s="148"/>
    </row>
    <row r="2305" spans="4:4">
      <c r="D2305" s="148"/>
    </row>
    <row r="2306" spans="4:4">
      <c r="D2306" s="148"/>
    </row>
    <row r="2307" spans="4:4">
      <c r="D2307" s="148"/>
    </row>
    <row r="2308" spans="4:4">
      <c r="D2308" s="148"/>
    </row>
    <row r="2309" spans="4:4">
      <c r="D2309" s="148"/>
    </row>
    <row r="2310" spans="4:4">
      <c r="D2310" s="148"/>
    </row>
    <row r="2311" spans="4:4">
      <c r="D2311" s="148"/>
    </row>
    <row r="2312" spans="4:4">
      <c r="D2312" s="148"/>
    </row>
    <row r="2313" spans="4:4">
      <c r="D2313" s="148"/>
    </row>
    <row r="2314" spans="4:4">
      <c r="D2314" s="148"/>
    </row>
    <row r="2315" spans="4:4">
      <c r="D2315" s="148"/>
    </row>
    <row r="2316" spans="4:4">
      <c r="D2316" s="148"/>
    </row>
    <row r="2317" spans="4:4">
      <c r="D2317" s="148"/>
    </row>
    <row r="2318" spans="4:4">
      <c r="D2318" s="148"/>
    </row>
    <row r="2319" spans="4:4">
      <c r="D2319" s="148"/>
    </row>
    <row r="2320" spans="4:4">
      <c r="D2320" s="148"/>
    </row>
    <row r="2321" spans="4:4">
      <c r="D2321" s="148"/>
    </row>
    <row r="2322" spans="4:4">
      <c r="D2322" s="148"/>
    </row>
    <row r="2323" spans="4:4">
      <c r="D2323" s="148"/>
    </row>
    <row r="2324" spans="4:4">
      <c r="D2324" s="148"/>
    </row>
    <row r="2325" spans="4:4">
      <c r="D2325" s="148"/>
    </row>
    <row r="2326" spans="4:4">
      <c r="D2326" s="148"/>
    </row>
    <row r="2327" spans="4:4">
      <c r="D2327" s="148"/>
    </row>
    <row r="2328" spans="4:4">
      <c r="D2328" s="148"/>
    </row>
    <row r="2329" spans="4:4">
      <c r="D2329" s="148"/>
    </row>
    <row r="2330" spans="4:4">
      <c r="D2330" s="148"/>
    </row>
    <row r="2331" spans="4:4">
      <c r="D2331" s="148"/>
    </row>
    <row r="2332" spans="4:4">
      <c r="D2332" s="148"/>
    </row>
    <row r="2333" spans="4:4">
      <c r="D2333" s="148"/>
    </row>
    <row r="2334" spans="4:4">
      <c r="D2334" s="148"/>
    </row>
    <row r="2335" spans="4:4">
      <c r="D2335" s="148"/>
    </row>
    <row r="2336" spans="4:4">
      <c r="D2336" s="148"/>
    </row>
    <row r="2337" spans="4:4">
      <c r="D2337" s="148"/>
    </row>
    <row r="2338" spans="4:4">
      <c r="D2338" s="148"/>
    </row>
    <row r="2339" spans="4:4">
      <c r="D2339" s="148"/>
    </row>
    <row r="2340" spans="4:4">
      <c r="D2340" s="148"/>
    </row>
    <row r="2341" spans="4:4">
      <c r="D2341" s="148"/>
    </row>
    <row r="2342" spans="4:4">
      <c r="D2342" s="148"/>
    </row>
    <row r="2343" spans="4:4">
      <c r="D2343" s="148"/>
    </row>
    <row r="2344" spans="4:4">
      <c r="D2344" s="148"/>
    </row>
    <row r="2345" spans="4:4">
      <c r="D2345" s="148"/>
    </row>
    <row r="2346" spans="4:4">
      <c r="D2346" s="148"/>
    </row>
    <row r="2347" spans="4:4">
      <c r="D2347" s="148"/>
    </row>
    <row r="2348" spans="4:4">
      <c r="D2348" s="148"/>
    </row>
    <row r="2349" spans="4:4">
      <c r="D2349" s="148"/>
    </row>
    <row r="2350" spans="4:4">
      <c r="D2350" s="148"/>
    </row>
    <row r="2351" spans="4:4">
      <c r="D2351" s="148"/>
    </row>
    <row r="2352" spans="4:4">
      <c r="D2352" s="148"/>
    </row>
    <row r="2353" spans="4:4">
      <c r="D2353" s="148"/>
    </row>
    <row r="2354" spans="4:4">
      <c r="D2354" s="148"/>
    </row>
    <row r="2355" spans="4:4">
      <c r="D2355" s="148"/>
    </row>
    <row r="2356" spans="4:4">
      <c r="D2356" s="148"/>
    </row>
    <row r="2357" spans="4:4">
      <c r="D2357" s="148"/>
    </row>
    <row r="2358" spans="4:4">
      <c r="D2358" s="148"/>
    </row>
    <row r="2359" spans="4:4">
      <c r="D2359" s="148"/>
    </row>
    <row r="2360" spans="4:4">
      <c r="D2360" s="148"/>
    </row>
    <row r="2361" spans="4:4">
      <c r="D2361" s="148"/>
    </row>
    <row r="2362" spans="4:4">
      <c r="D2362" s="148"/>
    </row>
    <row r="2363" spans="4:4">
      <c r="D2363" s="148"/>
    </row>
    <row r="2364" spans="4:4">
      <c r="D2364" s="148"/>
    </row>
    <row r="2365" spans="4:4">
      <c r="D2365" s="148"/>
    </row>
    <row r="2366" spans="4:4">
      <c r="D2366" s="148"/>
    </row>
    <row r="2367" spans="4:4">
      <c r="D2367" s="148"/>
    </row>
    <row r="2368" spans="4:4">
      <c r="D2368" s="148"/>
    </row>
    <row r="2369" spans="4:4">
      <c r="D2369" s="148"/>
    </row>
    <row r="2370" spans="4:4">
      <c r="D2370" s="148"/>
    </row>
    <row r="2371" spans="4:4">
      <c r="D2371" s="148"/>
    </row>
    <row r="2372" spans="4:4">
      <c r="D2372" s="148"/>
    </row>
    <row r="2373" spans="4:4">
      <c r="D2373" s="148"/>
    </row>
    <row r="2374" spans="4:4">
      <c r="D2374" s="148"/>
    </row>
    <row r="2375" spans="4:4">
      <c r="D2375" s="148"/>
    </row>
    <row r="2376" spans="4:4">
      <c r="D2376" s="148"/>
    </row>
    <row r="2377" spans="4:4">
      <c r="D2377" s="148"/>
    </row>
    <row r="2378" spans="4:4">
      <c r="D2378" s="148"/>
    </row>
    <row r="2379" spans="4:4">
      <c r="D2379" s="148"/>
    </row>
    <row r="2380" spans="4:4">
      <c r="D2380" s="148"/>
    </row>
    <row r="2381" spans="4:4">
      <c r="D2381" s="148"/>
    </row>
    <row r="2382" spans="4:4">
      <c r="D2382" s="148"/>
    </row>
    <row r="2383" spans="4:4">
      <c r="D2383" s="148"/>
    </row>
    <row r="2384" spans="4:4">
      <c r="D2384" s="148"/>
    </row>
    <row r="2385" spans="4:4">
      <c r="D2385" s="148"/>
    </row>
    <row r="2386" spans="4:4">
      <c r="D2386" s="148"/>
    </row>
    <row r="2387" spans="4:4">
      <c r="D2387" s="148"/>
    </row>
    <row r="2388" spans="4:4">
      <c r="D2388" s="148"/>
    </row>
    <row r="2389" spans="4:4">
      <c r="D2389" s="148"/>
    </row>
    <row r="2390" spans="4:4">
      <c r="D2390" s="148"/>
    </row>
    <row r="2391" spans="4:4">
      <c r="D2391" s="148"/>
    </row>
    <row r="2392" spans="4:4">
      <c r="D2392" s="148"/>
    </row>
    <row r="2393" spans="4:4">
      <c r="D2393" s="148"/>
    </row>
    <row r="2394" spans="4:4">
      <c r="D2394" s="148"/>
    </row>
    <row r="2395" spans="4:4">
      <c r="D2395" s="148"/>
    </row>
    <row r="2396" spans="4:4">
      <c r="D2396" s="148"/>
    </row>
    <row r="2397" spans="4:4">
      <c r="D2397" s="148"/>
    </row>
    <row r="2398" spans="4:4">
      <c r="D2398" s="148"/>
    </row>
    <row r="2399" spans="4:4">
      <c r="D2399" s="148"/>
    </row>
    <row r="2400" spans="4:4">
      <c r="D2400" s="148"/>
    </row>
    <row r="2401" spans="4:4">
      <c r="D2401" s="148"/>
    </row>
    <row r="2402" spans="4:4">
      <c r="D2402" s="148"/>
    </row>
    <row r="2403" spans="4:4">
      <c r="D2403" s="148"/>
    </row>
    <row r="2404" spans="4:4">
      <c r="D2404" s="148"/>
    </row>
    <row r="2405" spans="4:4">
      <c r="D2405" s="148"/>
    </row>
    <row r="2406" spans="4:4">
      <c r="D2406" s="148"/>
    </row>
    <row r="2407" spans="4:4">
      <c r="D2407" s="148"/>
    </row>
    <row r="2408" spans="4:4">
      <c r="D2408" s="148"/>
    </row>
    <row r="2409" spans="4:4">
      <c r="D2409" s="148"/>
    </row>
    <row r="2410" spans="4:4">
      <c r="D2410" s="148"/>
    </row>
    <row r="2411" spans="4:4">
      <c r="D2411" s="148"/>
    </row>
    <row r="2412" spans="4:4">
      <c r="D2412" s="148"/>
    </row>
    <row r="2413" spans="4:4">
      <c r="D2413" s="148"/>
    </row>
    <row r="2414" spans="4:4">
      <c r="D2414" s="148"/>
    </row>
    <row r="2415" spans="4:4">
      <c r="D2415" s="148"/>
    </row>
    <row r="2416" spans="4:4">
      <c r="D2416" s="148"/>
    </row>
    <row r="2417" spans="4:4">
      <c r="D2417" s="148"/>
    </row>
    <row r="2418" spans="4:4">
      <c r="D2418" s="148"/>
    </row>
    <row r="2419" spans="4:4">
      <c r="D2419" s="148"/>
    </row>
    <row r="2420" spans="4:4">
      <c r="D2420" s="148"/>
    </row>
    <row r="2421" spans="4:4">
      <c r="D2421" s="148"/>
    </row>
    <row r="2422" spans="4:4">
      <c r="D2422" s="148"/>
    </row>
    <row r="2423" spans="4:4">
      <c r="D2423" s="148"/>
    </row>
    <row r="2424" spans="4:4">
      <c r="D2424" s="148"/>
    </row>
    <row r="2425" spans="4:4">
      <c r="D2425" s="148"/>
    </row>
    <row r="2426" spans="4:4">
      <c r="D2426" s="148"/>
    </row>
    <row r="2427" spans="4:4">
      <c r="D2427" s="148"/>
    </row>
    <row r="2428" spans="4:4">
      <c r="D2428" s="148"/>
    </row>
    <row r="2429" spans="4:4">
      <c r="D2429" s="148"/>
    </row>
    <row r="2430" spans="4:4">
      <c r="D2430" s="148"/>
    </row>
    <row r="2431" spans="4:4">
      <c r="D2431" s="148"/>
    </row>
    <row r="2432" spans="4:4">
      <c r="D2432" s="148"/>
    </row>
    <row r="2433" spans="4:4">
      <c r="D2433" s="148"/>
    </row>
    <row r="2434" spans="4:4">
      <c r="D2434" s="148"/>
    </row>
    <row r="2435" spans="4:4">
      <c r="D2435" s="148"/>
    </row>
    <row r="2436" spans="4:4">
      <c r="D2436" s="148"/>
    </row>
    <row r="2437" spans="4:4">
      <c r="D2437" s="148"/>
    </row>
    <row r="2438" spans="4:4">
      <c r="D2438" s="148"/>
    </row>
    <row r="2439" spans="4:4">
      <c r="D2439" s="148"/>
    </row>
    <row r="2440" spans="4:4">
      <c r="D2440" s="148"/>
    </row>
    <row r="2441" spans="4:4">
      <c r="D2441" s="148"/>
    </row>
    <row r="2442" spans="4:4">
      <c r="D2442" s="148"/>
    </row>
    <row r="2443" spans="4:4">
      <c r="D2443" s="148"/>
    </row>
    <row r="2444" spans="4:4">
      <c r="D2444" s="148"/>
    </row>
    <row r="2445" spans="4:4">
      <c r="D2445" s="148"/>
    </row>
    <row r="2446" spans="4:4">
      <c r="D2446" s="148"/>
    </row>
    <row r="2447" spans="4:4">
      <c r="D2447" s="148"/>
    </row>
    <row r="2448" spans="4:4">
      <c r="D2448" s="148"/>
    </row>
    <row r="2449" spans="4:4">
      <c r="D2449" s="148"/>
    </row>
    <row r="2450" spans="4:4">
      <c r="D2450" s="148"/>
    </row>
    <row r="2451" spans="4:4">
      <c r="D2451" s="148"/>
    </row>
    <row r="2452" spans="4:4">
      <c r="D2452" s="148"/>
    </row>
    <row r="2453" spans="4:4">
      <c r="D2453" s="148"/>
    </row>
    <row r="2454" spans="4:4">
      <c r="D2454" s="148"/>
    </row>
    <row r="2455" spans="4:4">
      <c r="D2455" s="148"/>
    </row>
    <row r="2456" spans="4:4">
      <c r="D2456" s="148"/>
    </row>
    <row r="2457" spans="4:4">
      <c r="D2457" s="148"/>
    </row>
    <row r="2458" spans="4:4">
      <c r="D2458" s="148"/>
    </row>
    <row r="2459" spans="4:4">
      <c r="D2459" s="148"/>
    </row>
    <row r="2460" spans="4:4">
      <c r="D2460" s="148"/>
    </row>
    <row r="2461" spans="4:4">
      <c r="D2461" s="148"/>
    </row>
    <row r="2462" spans="4:4">
      <c r="D2462" s="148"/>
    </row>
    <row r="2463" spans="4:4">
      <c r="D2463" s="148"/>
    </row>
    <row r="2464" spans="4:4">
      <c r="D2464" s="148"/>
    </row>
    <row r="2465" spans="4:4">
      <c r="D2465" s="148"/>
    </row>
    <row r="2466" spans="4:4">
      <c r="D2466" s="148"/>
    </row>
    <row r="2467" spans="4:4">
      <c r="D2467" s="148"/>
    </row>
    <row r="2468" spans="4:4">
      <c r="D2468" s="148"/>
    </row>
    <row r="2469" spans="4:4">
      <c r="D2469" s="148"/>
    </row>
    <row r="2470" spans="4:4">
      <c r="D2470" s="148"/>
    </row>
    <row r="2471" spans="4:4">
      <c r="D2471" s="148"/>
    </row>
    <row r="2472" spans="4:4">
      <c r="D2472" s="148"/>
    </row>
    <row r="2473" spans="4:4">
      <c r="D2473" s="148"/>
    </row>
    <row r="2474" spans="4:4">
      <c r="D2474" s="148"/>
    </row>
    <row r="2475" spans="4:4">
      <c r="D2475" s="148"/>
    </row>
    <row r="2476" spans="4:4">
      <c r="D2476" s="148"/>
    </row>
    <row r="2477" spans="4:4">
      <c r="D2477" s="148"/>
    </row>
    <row r="2478" spans="4:4">
      <c r="D2478" s="148"/>
    </row>
    <row r="2479" spans="4:4">
      <c r="D2479" s="148"/>
    </row>
    <row r="2480" spans="4:4">
      <c r="D2480" s="148"/>
    </row>
    <row r="2481" spans="4:4">
      <c r="D2481" s="148"/>
    </row>
    <row r="2482" spans="4:4">
      <c r="D2482" s="148"/>
    </row>
    <row r="2483" spans="4:4">
      <c r="D2483" s="148"/>
    </row>
    <row r="2484" spans="4:4">
      <c r="D2484" s="148"/>
    </row>
    <row r="2485" spans="4:4">
      <c r="D2485" s="148"/>
    </row>
    <row r="2486" spans="4:4">
      <c r="D2486" s="148"/>
    </row>
    <row r="2487" spans="4:4">
      <c r="D2487" s="148"/>
    </row>
    <row r="2488" spans="4:4">
      <c r="D2488" s="148"/>
    </row>
    <row r="2489" spans="4:4">
      <c r="D2489" s="148"/>
    </row>
    <row r="2490" spans="4:4">
      <c r="D2490" s="148"/>
    </row>
    <row r="2491" spans="4:4">
      <c r="D2491" s="148"/>
    </row>
    <row r="2492" spans="4:4">
      <c r="D2492" s="148"/>
    </row>
    <row r="2493" spans="4:4">
      <c r="D2493" s="148"/>
    </row>
    <row r="2494" spans="4:4">
      <c r="D2494" s="148"/>
    </row>
    <row r="2495" spans="4:4">
      <c r="D2495" s="148"/>
    </row>
    <row r="2496" spans="4:4">
      <c r="D2496" s="148"/>
    </row>
    <row r="2497" spans="4:4">
      <c r="D2497" s="148"/>
    </row>
    <row r="2498" spans="4:4">
      <c r="D2498" s="148"/>
    </row>
    <row r="2499" spans="4:4">
      <c r="D2499" s="148"/>
    </row>
    <row r="2500" spans="4:4">
      <c r="D2500" s="148"/>
    </row>
    <row r="2501" spans="4:4">
      <c r="D2501" s="148"/>
    </row>
    <row r="2502" spans="4:4">
      <c r="D2502" s="148"/>
    </row>
    <row r="2503" spans="4:4">
      <c r="D2503" s="148"/>
    </row>
    <row r="2504" spans="4:4">
      <c r="D2504" s="148"/>
    </row>
    <row r="2505" spans="4:4">
      <c r="D2505" s="148"/>
    </row>
    <row r="2506" spans="4:4">
      <c r="D2506" s="148"/>
    </row>
    <row r="2507" spans="4:4">
      <c r="D2507" s="148"/>
    </row>
    <row r="2508" spans="4:4">
      <c r="D2508" s="148"/>
    </row>
    <row r="2509" spans="4:4">
      <c r="D2509" s="148"/>
    </row>
    <row r="2510" spans="4:4">
      <c r="D2510" s="148"/>
    </row>
    <row r="2511" spans="4:4">
      <c r="D2511" s="148"/>
    </row>
    <row r="2512" spans="4:4">
      <c r="D2512" s="148"/>
    </row>
    <row r="2513" spans="4:4">
      <c r="D2513" s="148"/>
    </row>
    <row r="2514" spans="4:4">
      <c r="D2514" s="148"/>
    </row>
    <row r="2515" spans="4:4">
      <c r="D2515" s="148"/>
    </row>
    <row r="2516" spans="4:4">
      <c r="D2516" s="148"/>
    </row>
    <row r="2517" spans="4:4">
      <c r="D2517" s="148"/>
    </row>
    <row r="2518" spans="4:4">
      <c r="D2518" s="148"/>
    </row>
    <row r="2519" spans="4:4">
      <c r="D2519" s="148"/>
    </row>
    <row r="2520" spans="4:4">
      <c r="D2520" s="148"/>
    </row>
    <row r="2521" spans="4:4">
      <c r="D2521" s="148"/>
    </row>
    <row r="2522" spans="4:4">
      <c r="D2522" s="148"/>
    </row>
    <row r="2523" spans="4:4">
      <c r="D2523" s="148"/>
    </row>
    <row r="2524" spans="4:4">
      <c r="D2524" s="148"/>
    </row>
    <row r="2525" spans="4:4">
      <c r="D2525" s="148"/>
    </row>
    <row r="2526" spans="4:4">
      <c r="D2526" s="148"/>
    </row>
    <row r="2527" spans="4:4">
      <c r="D2527" s="148"/>
    </row>
    <row r="2528" spans="4:4">
      <c r="D2528" s="148"/>
    </row>
    <row r="2529" spans="4:4">
      <c r="D2529" s="148"/>
    </row>
    <row r="2530" spans="4:4">
      <c r="D2530" s="148"/>
    </row>
    <row r="2531" spans="4:4">
      <c r="D2531" s="148"/>
    </row>
    <row r="2532" spans="4:4">
      <c r="D2532" s="148"/>
    </row>
    <row r="2533" spans="4:4">
      <c r="D2533" s="148"/>
    </row>
    <row r="2534" spans="4:4">
      <c r="D2534" s="148"/>
    </row>
    <row r="2535" spans="4:4">
      <c r="D2535" s="148"/>
    </row>
    <row r="2536" spans="4:4">
      <c r="D2536" s="148"/>
    </row>
    <row r="2537" spans="4:4">
      <c r="D2537" s="148"/>
    </row>
    <row r="2538" spans="4:4">
      <c r="D2538" s="148"/>
    </row>
    <row r="2539" spans="4:4">
      <c r="D2539" s="148"/>
    </row>
    <row r="2540" spans="4:4">
      <c r="D2540" s="148"/>
    </row>
    <row r="2541" spans="4:4">
      <c r="D2541" s="148"/>
    </row>
    <row r="2542" spans="4:4">
      <c r="D2542" s="148"/>
    </row>
    <row r="2543" spans="4:4">
      <c r="D2543" s="148"/>
    </row>
    <row r="2544" spans="4:4">
      <c r="D2544" s="148"/>
    </row>
    <row r="2545" spans="4:4">
      <c r="D2545" s="148"/>
    </row>
    <row r="2546" spans="4:4">
      <c r="D2546" s="148"/>
    </row>
    <row r="2547" spans="4:4">
      <c r="D2547" s="148"/>
    </row>
    <row r="2548" spans="4:4">
      <c r="D2548" s="148"/>
    </row>
    <row r="2549" spans="4:4">
      <c r="D2549" s="148"/>
    </row>
    <row r="2550" spans="4:4">
      <c r="D2550" s="148"/>
    </row>
    <row r="2551" spans="4:4">
      <c r="D2551" s="148"/>
    </row>
    <row r="2552" spans="4:4">
      <c r="D2552" s="148"/>
    </row>
    <row r="2553" spans="4:4">
      <c r="D2553" s="148"/>
    </row>
    <row r="2554" spans="4:4">
      <c r="D2554" s="148"/>
    </row>
    <row r="2555" spans="4:4">
      <c r="D2555" s="148"/>
    </row>
    <row r="2556" spans="4:4">
      <c r="D2556" s="148"/>
    </row>
    <row r="2557" spans="4:4">
      <c r="D2557" s="148"/>
    </row>
    <row r="2558" spans="4:4">
      <c r="D2558" s="148"/>
    </row>
    <row r="2559" spans="4:4">
      <c r="D2559" s="148"/>
    </row>
    <row r="2560" spans="4:4">
      <c r="D2560" s="148"/>
    </row>
    <row r="2561" spans="4:4">
      <c r="D2561" s="148"/>
    </row>
    <row r="2562" spans="4:4">
      <c r="D2562" s="148"/>
    </row>
    <row r="2563" spans="4:4">
      <c r="D2563" s="148"/>
    </row>
    <row r="2564" spans="4:4">
      <c r="D2564" s="148"/>
    </row>
    <row r="2565" spans="4:4">
      <c r="D2565" s="148"/>
    </row>
    <row r="2566" spans="4:4">
      <c r="D2566" s="148"/>
    </row>
    <row r="2567" spans="4:4">
      <c r="D2567" s="148"/>
    </row>
    <row r="2568" spans="4:4">
      <c r="D2568" s="148"/>
    </row>
    <row r="2569" spans="4:4">
      <c r="D2569" s="148"/>
    </row>
    <row r="2570" spans="4:4">
      <c r="D2570" s="148"/>
    </row>
    <row r="2571" spans="4:4">
      <c r="D2571" s="148"/>
    </row>
    <row r="2572" spans="4:4">
      <c r="D2572" s="148"/>
    </row>
    <row r="2573" spans="4:4">
      <c r="D2573" s="148"/>
    </row>
    <row r="2574" spans="4:4">
      <c r="D2574" s="148"/>
    </row>
    <row r="2575" spans="4:4">
      <c r="D2575" s="148"/>
    </row>
    <row r="2576" spans="4:4">
      <c r="D2576" s="148"/>
    </row>
    <row r="2577" spans="4:4">
      <c r="D2577" s="148"/>
    </row>
    <row r="2578" spans="4:4">
      <c r="D2578" s="148"/>
    </row>
    <row r="2579" spans="4:4">
      <c r="D2579" s="148"/>
    </row>
    <row r="2580" spans="4:4">
      <c r="D2580" s="148"/>
    </row>
    <row r="2581" spans="4:4">
      <c r="D2581" s="148"/>
    </row>
    <row r="2582" spans="4:4">
      <c r="D2582" s="148"/>
    </row>
    <row r="2583" spans="4:4">
      <c r="D2583" s="148"/>
    </row>
    <row r="2584" spans="4:4">
      <c r="D2584" s="148"/>
    </row>
    <row r="2585" spans="4:4">
      <c r="D2585" s="148"/>
    </row>
    <row r="2586" spans="4:4">
      <c r="D2586" s="148"/>
    </row>
    <row r="2587" spans="4:4">
      <c r="D2587" s="148"/>
    </row>
    <row r="2588" spans="4:4">
      <c r="D2588" s="148"/>
    </row>
    <row r="2589" spans="4:4">
      <c r="D2589" s="148"/>
    </row>
    <row r="2590" spans="4:4">
      <c r="D2590" s="148"/>
    </row>
    <row r="2591" spans="4:4">
      <c r="D2591" s="148"/>
    </row>
    <row r="2592" spans="4:4">
      <c r="D2592" s="148"/>
    </row>
    <row r="2593" spans="4:4">
      <c r="D2593" s="148"/>
    </row>
    <row r="2594" spans="4:4">
      <c r="D2594" s="148"/>
    </row>
    <row r="2595" spans="4:4">
      <c r="D2595" s="148"/>
    </row>
    <row r="2596" spans="4:4">
      <c r="D2596" s="148"/>
    </row>
    <row r="2597" spans="4:4">
      <c r="D2597" s="148"/>
    </row>
    <row r="2598" spans="4:4">
      <c r="D2598" s="148"/>
    </row>
    <row r="2599" spans="4:4">
      <c r="D2599" s="148"/>
    </row>
    <row r="2600" spans="4:4">
      <c r="D2600" s="148"/>
    </row>
    <row r="2601" spans="4:4">
      <c r="D2601" s="148"/>
    </row>
    <row r="2602" spans="4:4">
      <c r="D2602" s="148"/>
    </row>
    <row r="2603" spans="4:4">
      <c r="D2603" s="148"/>
    </row>
    <row r="2604" spans="4:4">
      <c r="D2604" s="148"/>
    </row>
    <row r="2605" spans="4:4">
      <c r="D2605" s="148"/>
    </row>
    <row r="2606" spans="4:4">
      <c r="D2606" s="148"/>
    </row>
    <row r="2607" spans="4:4">
      <c r="D2607" s="148"/>
    </row>
    <row r="2608" spans="4:4">
      <c r="D2608" s="148"/>
    </row>
    <row r="2609" spans="4:4">
      <c r="D2609" s="148"/>
    </row>
    <row r="2610" spans="4:4">
      <c r="D2610" s="148"/>
    </row>
    <row r="2611" spans="4:4">
      <c r="D2611" s="148"/>
    </row>
    <row r="2612" spans="4:4">
      <c r="D2612" s="148"/>
    </row>
    <row r="2613" spans="4:4">
      <c r="D2613" s="148"/>
    </row>
    <row r="2614" spans="4:4">
      <c r="D2614" s="148"/>
    </row>
    <row r="2615" spans="4:4">
      <c r="D2615" s="148"/>
    </row>
    <row r="2616" spans="4:4">
      <c r="D2616" s="148"/>
    </row>
    <row r="2617" spans="4:4">
      <c r="D2617" s="148"/>
    </row>
    <row r="2618" spans="4:4">
      <c r="D2618" s="148"/>
    </row>
    <row r="2619" spans="4:4">
      <c r="D2619" s="148"/>
    </row>
    <row r="2620" spans="4:4">
      <c r="D2620" s="148"/>
    </row>
    <row r="2621" spans="4:4">
      <c r="D2621" s="148"/>
    </row>
    <row r="2622" spans="4:4">
      <c r="D2622" s="148"/>
    </row>
    <row r="2623" spans="4:4">
      <c r="D2623" s="148"/>
    </row>
    <row r="2624" spans="4:4">
      <c r="D2624" s="148"/>
    </row>
    <row r="2625" spans="4:4">
      <c r="D2625" s="148"/>
    </row>
    <row r="2626" spans="4:4">
      <c r="D2626" s="148"/>
    </row>
    <row r="2627" spans="4:4">
      <c r="D2627" s="148"/>
    </row>
    <row r="2628" spans="4:4">
      <c r="D2628" s="148"/>
    </row>
    <row r="2629" spans="4:4">
      <c r="D2629" s="148"/>
    </row>
    <row r="2630" spans="4:4">
      <c r="D2630" s="148"/>
    </row>
    <row r="2631" spans="4:4">
      <c r="D2631" s="148"/>
    </row>
    <row r="2632" spans="4:4">
      <c r="D2632" s="148"/>
    </row>
    <row r="2633" spans="4:4">
      <c r="D2633" s="148"/>
    </row>
    <row r="2634" spans="4:4">
      <c r="D2634" s="148"/>
    </row>
    <row r="2635" spans="4:4">
      <c r="D2635" s="148"/>
    </row>
    <row r="2636" spans="4:4">
      <c r="D2636" s="148"/>
    </row>
    <row r="2637" spans="4:4">
      <c r="D2637" s="148"/>
    </row>
    <row r="2638" spans="4:4">
      <c r="D2638" s="148"/>
    </row>
    <row r="2639" spans="4:4">
      <c r="D2639" s="148"/>
    </row>
    <row r="2640" spans="4:4">
      <c r="D2640" s="148"/>
    </row>
    <row r="2641" spans="4:4">
      <c r="D2641" s="148"/>
    </row>
    <row r="2642" spans="4:4">
      <c r="D2642" s="148"/>
    </row>
    <row r="2643" spans="4:4">
      <c r="D2643" s="148"/>
    </row>
    <row r="2644" spans="4:4">
      <c r="D2644" s="148"/>
    </row>
    <row r="2645" spans="4:4">
      <c r="D2645" s="148"/>
    </row>
    <row r="2646" spans="4:4">
      <c r="D2646" s="148"/>
    </row>
    <row r="2647" spans="4:4">
      <c r="D2647" s="148"/>
    </row>
    <row r="2648" spans="4:4">
      <c r="D2648" s="148"/>
    </row>
    <row r="2649" spans="4:4">
      <c r="D2649" s="148"/>
    </row>
    <row r="2650" spans="4:4">
      <c r="D2650" s="148"/>
    </row>
    <row r="2651" spans="4:4">
      <c r="D2651" s="148"/>
    </row>
    <row r="2652" spans="4:4">
      <c r="D2652" s="148"/>
    </row>
    <row r="2653" spans="4:4">
      <c r="D2653" s="148"/>
    </row>
    <row r="2654" spans="4:4">
      <c r="D2654" s="148"/>
    </row>
    <row r="2655" spans="4:4">
      <c r="D2655" s="148"/>
    </row>
    <row r="2656" spans="4:4">
      <c r="D2656" s="148"/>
    </row>
    <row r="2657" spans="4:4">
      <c r="D2657" s="148"/>
    </row>
    <row r="2658" spans="4:4">
      <c r="D2658" s="148"/>
    </row>
    <row r="2659" spans="4:4">
      <c r="D2659" s="148"/>
    </row>
    <row r="2660" spans="4:4">
      <c r="D2660" s="148"/>
    </row>
    <row r="2661" spans="4:4">
      <c r="D2661" s="148"/>
    </row>
    <row r="2662" spans="4:4">
      <c r="D2662" s="148"/>
    </row>
    <row r="2663" spans="4:4">
      <c r="D2663" s="148"/>
    </row>
    <row r="2664" spans="4:4">
      <c r="D2664" s="148"/>
    </row>
    <row r="2665" spans="4:4">
      <c r="D2665" s="148"/>
    </row>
    <row r="2666" spans="4:4">
      <c r="D2666" s="148"/>
    </row>
    <row r="2667" spans="4:4">
      <c r="D2667" s="148"/>
    </row>
    <row r="2668" spans="4:4">
      <c r="D2668" s="148"/>
    </row>
    <row r="2669" spans="4:4">
      <c r="D2669" s="148"/>
    </row>
    <row r="2670" spans="4:4">
      <c r="D2670" s="148"/>
    </row>
    <row r="2671" spans="4:4">
      <c r="D2671" s="148"/>
    </row>
    <row r="2672" spans="4:4">
      <c r="D2672" s="148"/>
    </row>
    <row r="2673" spans="4:4">
      <c r="D2673" s="148"/>
    </row>
    <row r="2674" spans="4:4">
      <c r="D2674" s="148"/>
    </row>
    <row r="2675" spans="4:4">
      <c r="D2675" s="148"/>
    </row>
    <row r="2676" spans="4:4">
      <c r="D2676" s="148"/>
    </row>
    <row r="2677" spans="4:4">
      <c r="D2677" s="148"/>
    </row>
    <row r="2678" spans="4:4">
      <c r="D2678" s="148"/>
    </row>
    <row r="2679" spans="4:4">
      <c r="D2679" s="148"/>
    </row>
    <row r="2680" spans="4:4">
      <c r="D2680" s="148"/>
    </row>
    <row r="2681" spans="4:4">
      <c r="D2681" s="148"/>
    </row>
    <row r="2682" spans="4:4">
      <c r="D2682" s="148"/>
    </row>
    <row r="2683" spans="4:4">
      <c r="D2683" s="148"/>
    </row>
    <row r="2684" spans="4:4">
      <c r="D2684" s="148"/>
    </row>
    <row r="2685" spans="4:4">
      <c r="D2685" s="148"/>
    </row>
    <row r="2686" spans="4:4">
      <c r="D2686" s="148"/>
    </row>
    <row r="2687" spans="4:4">
      <c r="D2687" s="148"/>
    </row>
    <row r="2688" spans="4:4">
      <c r="D2688" s="148"/>
    </row>
    <row r="2689" spans="4:4">
      <c r="D2689" s="148"/>
    </row>
    <row r="2690" spans="4:4">
      <c r="D2690" s="148"/>
    </row>
    <row r="2691" spans="4:4">
      <c r="D2691" s="148"/>
    </row>
    <row r="2692" spans="4:4">
      <c r="D2692" s="148"/>
    </row>
    <row r="2693" spans="4:4">
      <c r="D2693" s="148"/>
    </row>
    <row r="2694" spans="4:4">
      <c r="D2694" s="148"/>
    </row>
    <row r="2695" spans="4:4">
      <c r="D2695" s="148"/>
    </row>
    <row r="2696" spans="4:4">
      <c r="D2696" s="148"/>
    </row>
    <row r="2697" spans="4:4">
      <c r="D2697" s="148"/>
    </row>
    <row r="2698" spans="4:4">
      <c r="D2698" s="148"/>
    </row>
    <row r="2699" spans="4:4">
      <c r="D2699" s="148"/>
    </row>
    <row r="2700" spans="4:4">
      <c r="D2700" s="148"/>
    </row>
    <row r="2701" spans="4:4">
      <c r="D2701" s="148"/>
    </row>
    <row r="2702" spans="4:4">
      <c r="D2702" s="148"/>
    </row>
    <row r="2703" spans="4:4">
      <c r="D2703" s="148"/>
    </row>
    <row r="2704" spans="4:4">
      <c r="D2704" s="148"/>
    </row>
    <row r="2705" spans="4:4">
      <c r="D2705" s="148"/>
    </row>
    <row r="2706" spans="4:4">
      <c r="D2706" s="148"/>
    </row>
    <row r="2707" spans="4:4">
      <c r="D2707" s="148"/>
    </row>
    <row r="2708" spans="4:4">
      <c r="D2708" s="148"/>
    </row>
    <row r="2709" spans="4:4">
      <c r="D2709" s="148"/>
    </row>
    <row r="2710" spans="4:4">
      <c r="D2710" s="148"/>
    </row>
    <row r="2711" spans="4:4">
      <c r="D2711" s="148"/>
    </row>
    <row r="2712" spans="4:4">
      <c r="D2712" s="148"/>
    </row>
    <row r="2713" spans="4:4">
      <c r="D2713" s="148"/>
    </row>
    <row r="2714" spans="4:4">
      <c r="D2714" s="148"/>
    </row>
    <row r="2715" spans="4:4">
      <c r="D2715" s="148"/>
    </row>
    <row r="2716" spans="4:4">
      <c r="D2716" s="148"/>
    </row>
    <row r="2717" spans="4:4">
      <c r="D2717" s="148"/>
    </row>
    <row r="2718" spans="4:4">
      <c r="D2718" s="148"/>
    </row>
    <row r="2719" spans="4:4">
      <c r="D2719" s="148"/>
    </row>
    <row r="2720" spans="4:4">
      <c r="D2720" s="148"/>
    </row>
    <row r="2721" spans="4:4">
      <c r="D2721" s="148"/>
    </row>
    <row r="2722" spans="4:4">
      <c r="D2722" s="148"/>
    </row>
    <row r="2723" spans="4:4">
      <c r="D2723" s="148"/>
    </row>
    <row r="2724" spans="4:4">
      <c r="D2724" s="148"/>
    </row>
    <row r="2725" spans="4:4">
      <c r="D2725" s="148"/>
    </row>
    <row r="2726" spans="4:4">
      <c r="D2726" s="148"/>
    </row>
    <row r="2727" spans="4:4">
      <c r="D2727" s="148"/>
    </row>
    <row r="2728" spans="4:4">
      <c r="D2728" s="148"/>
    </row>
    <row r="2729" spans="4:4">
      <c r="D2729" s="148"/>
    </row>
    <row r="2730" spans="4:4">
      <c r="D2730" s="148"/>
    </row>
    <row r="2731" spans="4:4">
      <c r="D2731" s="148"/>
    </row>
    <row r="2732" spans="4:4">
      <c r="D2732" s="148"/>
    </row>
    <row r="2733" spans="4:4">
      <c r="D2733" s="148"/>
    </row>
    <row r="2734" spans="4:4">
      <c r="D2734" s="148"/>
    </row>
    <row r="2735" spans="4:4">
      <c r="D2735" s="148"/>
    </row>
    <row r="2736" spans="4:4">
      <c r="D2736" s="148"/>
    </row>
    <row r="2737" spans="4:4">
      <c r="D2737" s="148"/>
    </row>
    <row r="2738" spans="4:4">
      <c r="D2738" s="148"/>
    </row>
    <row r="2739" spans="4:4">
      <c r="D2739" s="148"/>
    </row>
    <row r="2740" spans="4:4">
      <c r="D2740" s="148"/>
    </row>
    <row r="2741" spans="4:4">
      <c r="D2741" s="148"/>
    </row>
    <row r="2742" spans="4:4">
      <c r="D2742" s="148"/>
    </row>
    <row r="2743" spans="4:4">
      <c r="D2743" s="148"/>
    </row>
    <row r="2744" spans="4:4">
      <c r="D2744" s="148"/>
    </row>
    <row r="2745" spans="4:4">
      <c r="D2745" s="148"/>
    </row>
    <row r="2746" spans="4:4">
      <c r="D2746" s="148"/>
    </row>
    <row r="2747" spans="4:4">
      <c r="D2747" s="148"/>
    </row>
    <row r="2748" spans="4:4">
      <c r="D2748" s="148"/>
    </row>
    <row r="2749" spans="4:4">
      <c r="D2749" s="148"/>
    </row>
    <row r="2750" spans="4:4">
      <c r="D2750" s="148"/>
    </row>
    <row r="2751" spans="4:4">
      <c r="D2751" s="148"/>
    </row>
    <row r="2752" spans="4:4">
      <c r="D2752" s="148"/>
    </row>
    <row r="2753" spans="4:4">
      <c r="D2753" s="148"/>
    </row>
    <row r="2754" spans="4:4">
      <c r="D2754" s="148"/>
    </row>
    <row r="2755" spans="4:4">
      <c r="D2755" s="148"/>
    </row>
    <row r="2756" spans="4:4">
      <c r="D2756" s="148"/>
    </row>
    <row r="2757" spans="4:4">
      <c r="D2757" s="148"/>
    </row>
    <row r="2758" spans="4:4">
      <c r="D2758" s="148"/>
    </row>
    <row r="2759" spans="4:4">
      <c r="D2759" s="148"/>
    </row>
    <row r="2760" spans="4:4">
      <c r="D2760" s="148"/>
    </row>
    <row r="2761" spans="4:4">
      <c r="D2761" s="148"/>
    </row>
    <row r="2762" spans="4:4">
      <c r="D2762" s="148"/>
    </row>
    <row r="2763" spans="4:4">
      <c r="D2763" s="148"/>
    </row>
    <row r="2764" spans="4:4">
      <c r="D2764" s="148"/>
    </row>
    <row r="2765" spans="4:4">
      <c r="D2765" s="148"/>
    </row>
    <row r="2766" spans="4:4">
      <c r="D2766" s="148"/>
    </row>
    <row r="2767" spans="4:4">
      <c r="D2767" s="148"/>
    </row>
    <row r="2768" spans="4:4">
      <c r="D2768" s="148"/>
    </row>
    <row r="2769" spans="4:4">
      <c r="D2769" s="148"/>
    </row>
    <row r="2770" spans="4:4">
      <c r="D2770" s="148"/>
    </row>
    <row r="2771" spans="4:4">
      <c r="D2771" s="148"/>
    </row>
    <row r="2772" spans="4:4">
      <c r="D2772" s="148"/>
    </row>
    <row r="2773" spans="4:4">
      <c r="D2773" s="148"/>
    </row>
    <row r="2774" spans="4:4">
      <c r="D2774" s="148"/>
    </row>
    <row r="2775" spans="4:4">
      <c r="D2775" s="148"/>
    </row>
    <row r="2776" spans="4:4">
      <c r="D2776" s="148"/>
    </row>
    <row r="2777" spans="4:4">
      <c r="D2777" s="148"/>
    </row>
    <row r="2778" spans="4:4">
      <c r="D2778" s="148"/>
    </row>
    <row r="2779" spans="4:4">
      <c r="D2779" s="148"/>
    </row>
    <row r="2780" spans="4:4">
      <c r="D2780" s="148"/>
    </row>
    <row r="2781" spans="4:4">
      <c r="D2781" s="148"/>
    </row>
    <row r="2782" spans="4:4">
      <c r="D2782" s="148"/>
    </row>
    <row r="2783" spans="4:4">
      <c r="D2783" s="148"/>
    </row>
    <row r="2784" spans="4:4">
      <c r="D2784" s="148"/>
    </row>
    <row r="2785" spans="4:4">
      <c r="D2785" s="148"/>
    </row>
    <row r="2786" spans="4:4">
      <c r="D2786" s="148"/>
    </row>
    <row r="2787" spans="4:4">
      <c r="D2787" s="148"/>
    </row>
    <row r="2788" spans="4:4">
      <c r="D2788" s="148"/>
    </row>
    <row r="2789" spans="4:4">
      <c r="D2789" s="148"/>
    </row>
    <row r="2790" spans="4:4">
      <c r="D2790" s="148"/>
    </row>
    <row r="2791" spans="4:4">
      <c r="D2791" s="148"/>
    </row>
    <row r="2792" spans="4:4">
      <c r="D2792" s="148"/>
    </row>
    <row r="2793" spans="4:4">
      <c r="D2793" s="148"/>
    </row>
    <row r="2794" spans="4:4">
      <c r="D2794" s="148"/>
    </row>
    <row r="2795" spans="4:4">
      <c r="D2795" s="148"/>
    </row>
    <row r="2796" spans="4:4">
      <c r="D2796" s="148"/>
    </row>
    <row r="2797" spans="4:4">
      <c r="D2797" s="148"/>
    </row>
    <row r="2798" spans="4:4">
      <c r="D2798" s="148"/>
    </row>
    <row r="2799" spans="4:4">
      <c r="D2799" s="148"/>
    </row>
    <row r="2800" spans="4:4">
      <c r="D2800" s="148"/>
    </row>
    <row r="2801" spans="4:4">
      <c r="D2801" s="148"/>
    </row>
    <row r="2802" spans="4:4">
      <c r="D2802" s="148"/>
    </row>
    <row r="2803" spans="4:4">
      <c r="D2803" s="148"/>
    </row>
    <row r="2804" spans="4:4">
      <c r="D2804" s="148"/>
    </row>
    <row r="2805" spans="4:4">
      <c r="D2805" s="148"/>
    </row>
    <row r="2806" spans="4:4">
      <c r="D2806" s="148"/>
    </row>
    <row r="2807" spans="4:4">
      <c r="D2807" s="148"/>
    </row>
    <row r="2808" spans="4:4">
      <c r="D2808" s="148"/>
    </row>
    <row r="2809" spans="4:4">
      <c r="D2809" s="148"/>
    </row>
    <row r="2810" spans="4:4">
      <c r="D2810" s="148"/>
    </row>
    <row r="2811" spans="4:4">
      <c r="D2811" s="148"/>
    </row>
    <row r="2812" spans="4:4">
      <c r="D2812" s="148"/>
    </row>
    <row r="2813" spans="4:4">
      <c r="D2813" s="148"/>
    </row>
    <row r="2814" spans="4:4">
      <c r="D2814" s="148"/>
    </row>
    <row r="2815" spans="4:4">
      <c r="D2815" s="148"/>
    </row>
    <row r="2816" spans="4:4">
      <c r="D2816" s="148"/>
    </row>
    <row r="2817" spans="4:4">
      <c r="D2817" s="148"/>
    </row>
    <row r="2818" spans="4:4">
      <c r="D2818" s="148"/>
    </row>
    <row r="2819" spans="4:4">
      <c r="D2819" s="148"/>
    </row>
    <row r="2820" spans="4:4">
      <c r="D2820" s="148"/>
    </row>
    <row r="2821" spans="4:4">
      <c r="D2821" s="148"/>
    </row>
    <row r="2822" spans="4:4">
      <c r="D2822" s="148"/>
    </row>
    <row r="2823" spans="4:4">
      <c r="D2823" s="148"/>
    </row>
    <row r="2824" spans="4:4">
      <c r="D2824" s="148"/>
    </row>
    <row r="2825" spans="4:4">
      <c r="D2825" s="148"/>
    </row>
    <row r="2826" spans="4:4">
      <c r="D2826" s="148"/>
    </row>
    <row r="2827" spans="4:4">
      <c r="D2827" s="148"/>
    </row>
    <row r="2828" spans="4:4">
      <c r="D2828" s="148"/>
    </row>
    <row r="2829" spans="4:4">
      <c r="D2829" s="148"/>
    </row>
    <row r="2830" spans="4:4">
      <c r="D2830" s="148"/>
    </row>
    <row r="2831" spans="4:4">
      <c r="D2831" s="148"/>
    </row>
    <row r="2832" spans="4:4">
      <c r="D2832" s="148"/>
    </row>
    <row r="2833" spans="4:4">
      <c r="D2833" s="148"/>
    </row>
    <row r="2834" spans="4:4">
      <c r="D2834" s="148"/>
    </row>
    <row r="2835" spans="4:4">
      <c r="D2835" s="148"/>
    </row>
    <row r="2836" spans="4:4">
      <c r="D2836" s="148"/>
    </row>
    <row r="2837" spans="4:4">
      <c r="D2837" s="148"/>
    </row>
    <row r="2838" spans="4:4">
      <c r="D2838" s="148"/>
    </row>
    <row r="2839" spans="4:4">
      <c r="D2839" s="148"/>
    </row>
    <row r="2840" spans="4:4">
      <c r="D2840" s="148"/>
    </row>
    <row r="2841" spans="4:4">
      <c r="D2841" s="148"/>
    </row>
    <row r="2842" spans="4:4">
      <c r="D2842" s="148"/>
    </row>
    <row r="2843" spans="4:4">
      <c r="D2843" s="148"/>
    </row>
    <row r="2844" spans="4:4">
      <c r="D2844" s="148"/>
    </row>
    <row r="2845" spans="4:4">
      <c r="D2845" s="148"/>
    </row>
    <row r="2846" spans="4:4">
      <c r="D2846" s="148"/>
    </row>
    <row r="2847" spans="4:4">
      <c r="D2847" s="148"/>
    </row>
    <row r="2848" spans="4:4">
      <c r="D2848" s="148"/>
    </row>
    <row r="2849" spans="4:4">
      <c r="D2849" s="148"/>
    </row>
    <row r="2850" spans="4:4">
      <c r="D2850" s="148"/>
    </row>
    <row r="2851" spans="4:4">
      <c r="D2851" s="148"/>
    </row>
    <row r="2852" spans="4:4">
      <c r="D2852" s="148"/>
    </row>
    <row r="2853" spans="4:4">
      <c r="D2853" s="148"/>
    </row>
    <row r="2854" spans="4:4">
      <c r="D2854" s="148"/>
    </row>
    <row r="2855" spans="4:4">
      <c r="D2855" s="148"/>
    </row>
    <row r="2856" spans="4:4">
      <c r="D2856" s="148"/>
    </row>
    <row r="2857" spans="4:4">
      <c r="D2857" s="148"/>
    </row>
    <row r="2858" spans="4:4">
      <c r="D2858" s="148"/>
    </row>
    <row r="2859" spans="4:4">
      <c r="D2859" s="148"/>
    </row>
    <row r="2860" spans="4:4">
      <c r="D2860" s="148"/>
    </row>
    <row r="2861" spans="4:4">
      <c r="D2861" s="148"/>
    </row>
    <row r="2862" spans="4:4">
      <c r="D2862" s="148"/>
    </row>
    <row r="2863" spans="4:4">
      <c r="D2863" s="148"/>
    </row>
    <row r="2864" spans="4:4">
      <c r="D2864" s="148"/>
    </row>
    <row r="2865" spans="4:4">
      <c r="D2865" s="148"/>
    </row>
    <row r="2866" spans="4:4">
      <c r="D2866" s="148"/>
    </row>
    <row r="2867" spans="4:4">
      <c r="D2867" s="148"/>
    </row>
    <row r="2868" spans="4:4">
      <c r="D2868" s="148"/>
    </row>
    <row r="2869" spans="4:4">
      <c r="D2869" s="148"/>
    </row>
    <row r="2870" spans="4:4">
      <c r="D2870" s="148"/>
    </row>
    <row r="2871" spans="4:4">
      <c r="D2871" s="148"/>
    </row>
    <row r="2872" spans="4:4">
      <c r="D2872" s="148"/>
    </row>
    <row r="2873" spans="4:4">
      <c r="D2873" s="148"/>
    </row>
    <row r="2874" spans="4:4">
      <c r="D2874" s="148"/>
    </row>
    <row r="2875" spans="4:4">
      <c r="D2875" s="148"/>
    </row>
    <row r="2876" spans="4:4">
      <c r="D2876" s="148"/>
    </row>
    <row r="2877" spans="4:4">
      <c r="D2877" s="148"/>
    </row>
    <row r="2878" spans="4:4">
      <c r="D2878" s="148"/>
    </row>
    <row r="2879" spans="4:4">
      <c r="D2879" s="148"/>
    </row>
    <row r="2880" spans="4:4">
      <c r="D2880" s="148"/>
    </row>
    <row r="2881" spans="4:4">
      <c r="D2881" s="148"/>
    </row>
    <row r="2882" spans="4:4">
      <c r="D2882" s="148"/>
    </row>
    <row r="2883" spans="4:4">
      <c r="D2883" s="148"/>
    </row>
    <row r="2884" spans="4:4">
      <c r="D2884" s="148"/>
    </row>
    <row r="2885" spans="4:4">
      <c r="D2885" s="148"/>
    </row>
  </sheetData>
  <mergeCells count="1">
    <mergeCell ref="H3:J3"/>
  </mergeCells>
  <phoneticPr fontId="5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P19"/>
  <sheetViews>
    <sheetView showGridLines="0" zoomScaleNormal="100" workbookViewId="0">
      <selection activeCell="B20" sqref="B20"/>
    </sheetView>
  </sheetViews>
  <sheetFormatPr defaultColWidth="9" defaultRowHeight="12.75"/>
  <cols>
    <col min="1" max="1" width="23" style="5" customWidth="1"/>
    <col min="2" max="2" width="17.7109375" style="5" customWidth="1"/>
    <col min="3" max="3" width="3" style="5" customWidth="1"/>
    <col min="4" max="4" width="54" style="5" customWidth="1"/>
    <col min="5" max="5" width="9" style="5"/>
    <col min="6" max="6" width="35" style="5" customWidth="1"/>
    <col min="7" max="16384" width="9" style="5"/>
  </cols>
  <sheetData>
    <row r="1" spans="1:16" ht="18">
      <c r="A1" s="45" t="s">
        <v>318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21">
      <c r="A2" s="40" t="s">
        <v>319</v>
      </c>
      <c r="B2" s="138"/>
      <c r="C2" s="138"/>
      <c r="D2" s="40" t="s">
        <v>22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 ht="29.25" customHeight="1">
      <c r="A3" s="40"/>
      <c r="B3" s="138"/>
      <c r="C3" s="138"/>
      <c r="D3" s="138" t="s">
        <v>22</v>
      </c>
      <c r="E3" s="138"/>
      <c r="F3" s="65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1:16">
      <c r="A4" s="41" t="s">
        <v>320</v>
      </c>
      <c r="B4" s="96">
        <v>60</v>
      </c>
      <c r="C4" s="280"/>
      <c r="D4" s="281"/>
      <c r="E4" s="138"/>
      <c r="F4" s="64" t="s">
        <v>320</v>
      </c>
      <c r="G4" s="138"/>
      <c r="H4" s="138" t="s">
        <v>22</v>
      </c>
      <c r="I4" s="138"/>
      <c r="J4" s="138"/>
      <c r="K4" s="138"/>
      <c r="L4" s="138"/>
      <c r="M4" s="138"/>
      <c r="N4" s="138"/>
      <c r="O4" s="138"/>
      <c r="P4" s="138"/>
    </row>
    <row r="5" spans="1:16">
      <c r="A5" s="42" t="s">
        <v>321</v>
      </c>
      <c r="B5" s="96" t="s">
        <v>322</v>
      </c>
      <c r="C5" s="138"/>
      <c r="D5" s="43"/>
      <c r="E5" s="138"/>
      <c r="F5" s="65">
        <v>60</v>
      </c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>
      <c r="A6" s="42"/>
      <c r="B6" s="138"/>
      <c r="C6" s="138"/>
      <c r="D6" s="43"/>
      <c r="E6" s="138"/>
      <c r="F6" s="65">
        <v>120</v>
      </c>
      <c r="G6" s="138"/>
      <c r="H6" s="138"/>
      <c r="I6" s="138"/>
      <c r="J6" s="138"/>
      <c r="K6" s="138"/>
      <c r="L6" s="138"/>
      <c r="M6" s="138"/>
      <c r="N6" s="138"/>
      <c r="O6" s="138"/>
      <c r="P6" s="138"/>
    </row>
    <row r="7" spans="1:16">
      <c r="A7" s="42"/>
      <c r="B7" s="138"/>
      <c r="C7" s="138"/>
      <c r="D7" s="43"/>
      <c r="E7" s="138"/>
      <c r="F7" s="64" t="s">
        <v>323</v>
      </c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16">
      <c r="A8" s="42" t="s">
        <v>324</v>
      </c>
      <c r="B8" s="256">
        <v>4.5100000000000001E-2</v>
      </c>
      <c r="C8" s="138"/>
      <c r="D8" s="340" t="s">
        <v>325</v>
      </c>
      <c r="E8" s="138"/>
      <c r="F8" s="65" t="s">
        <v>326</v>
      </c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16" ht="26.25" customHeight="1">
      <c r="A9" s="42" t="s">
        <v>327</v>
      </c>
      <c r="B9" s="417" t="s">
        <v>22</v>
      </c>
      <c r="C9" s="138"/>
      <c r="D9" s="341" t="s">
        <v>328</v>
      </c>
      <c r="E9" s="42" t="s">
        <v>22</v>
      </c>
      <c r="F9" s="360" t="s">
        <v>329</v>
      </c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>
      <c r="A10" s="42" t="s">
        <v>330</v>
      </c>
      <c r="B10" s="359">
        <v>5.5E-2</v>
      </c>
      <c r="C10" s="138"/>
      <c r="D10" s="340" t="s">
        <v>331</v>
      </c>
      <c r="E10" s="138"/>
      <c r="F10" s="65" t="s">
        <v>322</v>
      </c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6">
      <c r="A11" s="44" t="s">
        <v>332</v>
      </c>
      <c r="B11" s="416" t="s">
        <v>22</v>
      </c>
      <c r="C11" s="268"/>
      <c r="D11" s="342" t="e">
        <f ca="1">_xlfn.FORMULATEXT(B11)</f>
        <v>#N/A</v>
      </c>
      <c r="E11" s="138"/>
      <c r="F11" s="65"/>
      <c r="G11" s="138"/>
      <c r="H11" s="138"/>
      <c r="I11" s="138"/>
      <c r="J11" s="138"/>
      <c r="K11" s="138"/>
      <c r="L11" s="138"/>
      <c r="M11" s="138"/>
      <c r="N11" s="138"/>
      <c r="O11" s="138"/>
      <c r="P11" s="138"/>
    </row>
    <row r="12" spans="1:16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spans="1:16">
      <c r="A13" s="138" t="s">
        <v>22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</row>
    <row r="14" spans="1:16">
      <c r="A14" s="138"/>
      <c r="B14" s="63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16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</row>
    <row r="16" spans="1: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</row>
    <row r="17" spans="5:16"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5:16"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</row>
    <row r="19" spans="5:16"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</row>
  </sheetData>
  <dataValidations count="2">
    <dataValidation type="list" allowBlank="1" showInputMessage="1" showErrorMessage="1" promptTitle="Beta computation period, months" prompt="Select a beta computation period" sqref="B4" xr:uid="{4BF90487-E22E-40BF-9615-2C95CF4B6D70}">
      <formula1>$F$5:$F$6</formula1>
    </dataValidation>
    <dataValidation type="list" allowBlank="1" showInputMessage="1" showErrorMessage="1" promptTitle="Market index choice" prompt="Select a market index for beta computation" sqref="B5" xr:uid="{CFF94805-2F14-4A91-BBED-2B94E359B411}">
      <formula1>$F$8:$F$10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AK748"/>
  <sheetViews>
    <sheetView showGridLines="0" zoomScale="78" zoomScaleNormal="95" workbookViewId="0">
      <pane xSplit="3" ySplit="1" topLeftCell="Q2" activePane="bottomRight" state="frozen"/>
      <selection pane="bottomRight" activeCell="C29" sqref="C29"/>
      <selection pane="bottomLeft"/>
      <selection pane="topRight"/>
    </sheetView>
  </sheetViews>
  <sheetFormatPr defaultColWidth="9" defaultRowHeight="14.25"/>
  <cols>
    <col min="1" max="1" width="9" style="22"/>
    <col min="2" max="2" width="13" style="22" customWidth="1"/>
    <col min="3" max="4" width="12" style="22" customWidth="1"/>
    <col min="5" max="5" width="14" style="22" customWidth="1"/>
    <col min="6" max="6" width="20" style="22" customWidth="1"/>
    <col min="7" max="7" width="13" style="22" customWidth="1"/>
    <col min="8" max="8" width="21" style="22" customWidth="1"/>
    <col min="9" max="9" width="25" style="22" customWidth="1"/>
    <col min="10" max="10" width="12" style="22" customWidth="1"/>
    <col min="11" max="11" width="24.7109375" style="22" customWidth="1"/>
    <col min="12" max="12" width="26.28515625" style="22" customWidth="1"/>
    <col min="13" max="13" width="16" style="22" customWidth="1"/>
    <col min="14" max="21" width="19.28515625" style="22" customWidth="1"/>
    <col min="22" max="22" width="20" style="22" customWidth="1"/>
    <col min="23" max="23" width="13.7109375" style="22" customWidth="1"/>
    <col min="24" max="24" width="35.28515625" style="22" customWidth="1"/>
    <col min="25" max="25" width="18" style="22" customWidth="1"/>
    <col min="26" max="26" width="19.7109375" style="22" customWidth="1"/>
    <col min="27" max="27" width="16.28515625" style="22" customWidth="1"/>
    <col min="28" max="28" width="18.85546875" style="22" customWidth="1"/>
    <col min="29" max="29" width="10.28515625" style="22" bestFit="1" customWidth="1"/>
    <col min="30" max="36" width="9" style="22"/>
    <col min="37" max="37" width="15.28515625" style="22" customWidth="1"/>
    <col min="38" max="16384" width="9" style="22"/>
  </cols>
  <sheetData>
    <row r="1" spans="1:37" ht="50.25" customHeight="1">
      <c r="A1" s="146" t="s">
        <v>333</v>
      </c>
      <c r="B1" s="146" t="s">
        <v>334</v>
      </c>
      <c r="C1" s="146" t="s">
        <v>335</v>
      </c>
      <c r="D1" s="146" t="s">
        <v>336</v>
      </c>
      <c r="E1" s="146" t="s">
        <v>337</v>
      </c>
      <c r="F1" s="146" t="s">
        <v>338</v>
      </c>
      <c r="G1" s="146" t="s">
        <v>339</v>
      </c>
      <c r="H1" s="146" t="s">
        <v>340</v>
      </c>
      <c r="I1" s="146" t="s">
        <v>341</v>
      </c>
      <c r="J1" s="146" t="s">
        <v>342</v>
      </c>
      <c r="K1" s="146" t="s">
        <v>343</v>
      </c>
      <c r="L1" s="146" t="s">
        <v>344</v>
      </c>
      <c r="M1" s="147" t="s">
        <v>345</v>
      </c>
      <c r="N1" s="4" t="s">
        <v>346</v>
      </c>
      <c r="O1" s="4" t="s">
        <v>347</v>
      </c>
      <c r="P1" s="4" t="s">
        <v>348</v>
      </c>
      <c r="Q1" s="4" t="s">
        <v>349</v>
      </c>
      <c r="R1" s="4" t="s">
        <v>350</v>
      </c>
      <c r="S1" s="4" t="s">
        <v>351</v>
      </c>
      <c r="T1" s="4" t="s">
        <v>352</v>
      </c>
      <c r="U1" s="4" t="s">
        <v>353</v>
      </c>
      <c r="V1" s="4" t="s">
        <v>354</v>
      </c>
      <c r="W1" s="4" t="s">
        <v>355</v>
      </c>
      <c r="X1" s="4" t="s">
        <v>356</v>
      </c>
      <c r="Y1" s="4" t="s">
        <v>357</v>
      </c>
      <c r="Z1" s="4" t="s">
        <v>358</v>
      </c>
      <c r="AA1" s="4" t="s">
        <v>359</v>
      </c>
      <c r="AB1" s="4" t="s">
        <v>360</v>
      </c>
      <c r="AC1" s="24"/>
    </row>
    <row r="2" spans="1:37" ht="15">
      <c r="A2">
        <v>18163</v>
      </c>
      <c r="B2" s="148">
        <v>40939</v>
      </c>
      <c r="C2" t="s">
        <v>361</v>
      </c>
      <c r="D2" t="s">
        <v>316</v>
      </c>
      <c r="E2" t="s">
        <v>362</v>
      </c>
      <c r="F2">
        <v>21446</v>
      </c>
      <c r="G2" t="s">
        <v>361</v>
      </c>
      <c r="H2">
        <v>63.040000915527344</v>
      </c>
      <c r="I2">
        <v>-4.7144331037998199E-2</v>
      </c>
      <c r="J2">
        <v>5.4106390000000004E-2</v>
      </c>
      <c r="K2">
        <v>8.5342000000000001E-2</v>
      </c>
      <c r="L2">
        <v>4.358302E-2</v>
      </c>
      <c r="M2" s="23">
        <f>B2</f>
        <v>40939</v>
      </c>
      <c r="N2" s="99" t="e">
        <f>IF(AND(($W$12-4)&lt;=$M2,($W$13)&gt;=($M2-4)),I2," ")</f>
        <v>#VALUE!</v>
      </c>
      <c r="O2" s="99" t="e">
        <f>IF(AND(($W$12-4)&lt;=$M2,($W$13)&gt;=($M2-4)),J2," ")</f>
        <v>#VALUE!</v>
      </c>
      <c r="P2" s="99" t="e">
        <f>IF(AND(($W$12-4)&lt;=$M2,($W$13)&gt;=($M2-4)),K2," ")</f>
        <v>#VALUE!</v>
      </c>
      <c r="Q2" s="99" t="e">
        <f>IF(AND(($W$12-4)&lt;=$M2,($W$13)&gt;=($M2-4)),L2," ")</f>
        <v>#VALUE!</v>
      </c>
      <c r="R2" s="99" t="e">
        <f t="shared" ref="R2:R20" si="0">IF(AND(($W$15-4)&lt;=$M2,($W$16)&gt;=($M2-4)),I2," ")</f>
        <v>#VALUE!</v>
      </c>
      <c r="S2" s="99" t="e">
        <f t="shared" ref="S2:S20" si="1">IF(AND(($W$15-4)&lt;=$M2,($W$16)&gt;=($M2-4)),J2," ")</f>
        <v>#VALUE!</v>
      </c>
      <c r="T2" s="99" t="e">
        <f t="shared" ref="T2:T20" si="2">IF(AND(($W$15-4)&lt;=$M2,($W$16)&gt;=($M2-4)),K2," ")</f>
        <v>#VALUE!</v>
      </c>
      <c r="U2" s="99" t="e">
        <f t="shared" ref="U2:U20" si="3">IF(AND(($W$15-4)&lt;=$M2,($W$16)&gt;=($M2-4)),L2," ")</f>
        <v>#VALUE!</v>
      </c>
      <c r="V2" s="149">
        <v>45473</v>
      </c>
      <c r="W2" s="24">
        <f>MONTH(V2)</f>
        <v>6</v>
      </c>
      <c r="X2" s="24">
        <f>DAY(V2)</f>
        <v>30</v>
      </c>
      <c r="Y2" s="24">
        <f>YEAR(V2)</f>
        <v>2024</v>
      </c>
      <c r="Z2" s="23">
        <f>DATE(Y2,W2,X2)</f>
        <v>45473</v>
      </c>
      <c r="AA2" s="23">
        <f>DATE(Y2,(W2-1),1)</f>
        <v>45413</v>
      </c>
      <c r="AB2" s="23">
        <f>EOMONTH(AA2,0)</f>
        <v>45443</v>
      </c>
      <c r="AC2" s="23"/>
      <c r="AH2" s="114"/>
      <c r="AI2" s="114"/>
      <c r="AJ2" s="114"/>
      <c r="AK2" s="115"/>
    </row>
    <row r="3" spans="1:37" ht="15.75" thickBot="1">
      <c r="A3">
        <v>18163</v>
      </c>
      <c r="B3" s="148">
        <v>40968</v>
      </c>
      <c r="C3" t="s">
        <v>361</v>
      </c>
      <c r="D3" t="s">
        <v>316</v>
      </c>
      <c r="E3" t="s">
        <v>362</v>
      </c>
      <c r="F3">
        <v>21446</v>
      </c>
      <c r="G3" t="s">
        <v>361</v>
      </c>
      <c r="H3">
        <v>67.620002746582031</v>
      </c>
      <c r="I3">
        <v>7.2652310132980347E-2</v>
      </c>
      <c r="J3">
        <v>4.1225249999999998E-2</v>
      </c>
      <c r="K3">
        <v>3.649384E-2</v>
      </c>
      <c r="L3">
        <v>4.0589449999999999E-2</v>
      </c>
      <c r="M3" s="23">
        <f t="shared" ref="M3:M66" si="4">B3</f>
        <v>40968</v>
      </c>
      <c r="N3" s="99" t="e">
        <f t="shared" ref="N3:N66" si="5">IF(AND(($W$12-4)&lt;=$M3,($W$13)&gt;=($M3-4)),I3," ")</f>
        <v>#VALUE!</v>
      </c>
      <c r="O3" s="99" t="e">
        <f t="shared" ref="O3:O66" si="6">IF(AND(($W$12-4)&lt;=$M3,($W$13)&gt;=($M3-4)),J3," ")</f>
        <v>#VALUE!</v>
      </c>
      <c r="P3" s="99" t="e">
        <f t="shared" ref="P3:P66" si="7">IF(AND(($W$12-4)&lt;=$M3,($W$13)&gt;=($M3-4)),K3," ")</f>
        <v>#VALUE!</v>
      </c>
      <c r="Q3" s="99" t="e">
        <f t="shared" ref="Q3:Q66" si="8">IF(AND(($W$12-4)&lt;=$M3,($W$13)&gt;=($M3-4)),L3," ")</f>
        <v>#VALUE!</v>
      </c>
      <c r="R3" s="99" t="e">
        <f t="shared" si="0"/>
        <v>#VALUE!</v>
      </c>
      <c r="S3" s="99" t="e">
        <f t="shared" si="1"/>
        <v>#VALUE!</v>
      </c>
      <c r="T3" s="99" t="e">
        <f t="shared" si="2"/>
        <v>#VALUE!</v>
      </c>
      <c r="U3" s="99" t="e">
        <f t="shared" si="3"/>
        <v>#VALUE!</v>
      </c>
      <c r="V3" s="25" t="s">
        <v>22</v>
      </c>
      <c r="X3" s="24"/>
      <c r="Y3" s="24"/>
      <c r="Z3" s="24"/>
      <c r="AA3" s="24"/>
      <c r="AB3" s="24"/>
      <c r="AH3" s="114"/>
      <c r="AI3" s="114"/>
      <c r="AJ3" s="114"/>
      <c r="AK3" s="115"/>
    </row>
    <row r="4" spans="1:37" ht="15.75" thickBot="1">
      <c r="A4">
        <v>18163</v>
      </c>
      <c r="B4" s="148">
        <v>40998</v>
      </c>
      <c r="C4" t="s">
        <v>361</v>
      </c>
      <c r="D4" t="s">
        <v>316</v>
      </c>
      <c r="E4" t="s">
        <v>362</v>
      </c>
      <c r="F4">
        <v>21446</v>
      </c>
      <c r="G4" t="s">
        <v>361</v>
      </c>
      <c r="H4">
        <v>67.209999084472656</v>
      </c>
      <c r="I4">
        <v>-6.063348613679409E-3</v>
      </c>
      <c r="J4">
        <v>2.4020320000000001E-2</v>
      </c>
      <c r="K4">
        <v>1.7608390000000002E-2</v>
      </c>
      <c r="L4">
        <v>3.133238E-2</v>
      </c>
      <c r="M4" s="23">
        <f t="shared" si="4"/>
        <v>40998</v>
      </c>
      <c r="N4" s="99" t="e">
        <f t="shared" si="5"/>
        <v>#VALUE!</v>
      </c>
      <c r="O4" s="99" t="e">
        <f t="shared" si="6"/>
        <v>#VALUE!</v>
      </c>
      <c r="P4" s="99" t="e">
        <f t="shared" si="7"/>
        <v>#VALUE!</v>
      </c>
      <c r="Q4" s="99" t="e">
        <f t="shared" si="8"/>
        <v>#VALUE!</v>
      </c>
      <c r="R4" s="99" t="e">
        <f t="shared" si="0"/>
        <v>#VALUE!</v>
      </c>
      <c r="S4" s="99" t="e">
        <f t="shared" si="1"/>
        <v>#VALUE!</v>
      </c>
      <c r="T4" s="99" t="e">
        <f t="shared" si="2"/>
        <v>#VALUE!</v>
      </c>
      <c r="U4" s="99" t="e">
        <f t="shared" si="3"/>
        <v>#VALUE!</v>
      </c>
      <c r="V4" s="47"/>
      <c r="W4" s="144"/>
      <c r="Y4" s="129"/>
      <c r="Z4" s="130" t="s">
        <v>363</v>
      </c>
      <c r="AA4" s="131" t="s">
        <v>364</v>
      </c>
      <c r="AB4" s="24"/>
      <c r="AH4" s="114"/>
      <c r="AI4" s="114"/>
      <c r="AJ4" s="114"/>
      <c r="AK4" s="115"/>
    </row>
    <row r="5" spans="1:37" ht="45.75" thickBot="1">
      <c r="A5">
        <v>18163</v>
      </c>
      <c r="B5" s="148">
        <v>41029</v>
      </c>
      <c r="C5" t="s">
        <v>361</v>
      </c>
      <c r="D5" t="s">
        <v>316</v>
      </c>
      <c r="E5" t="s">
        <v>362</v>
      </c>
      <c r="F5">
        <v>21446</v>
      </c>
      <c r="G5" t="s">
        <v>361</v>
      </c>
      <c r="H5">
        <v>63.639999389648438</v>
      </c>
      <c r="I5">
        <v>-4.4755242764949799E-2</v>
      </c>
      <c r="J5">
        <v>-6.8285950000000007E-3</v>
      </c>
      <c r="K5">
        <v>-9.1063340000000007E-3</v>
      </c>
      <c r="L5">
        <v>-7.4974970000000005E-3</v>
      </c>
      <c r="M5" s="23">
        <f t="shared" si="4"/>
        <v>41029</v>
      </c>
      <c r="N5" s="99" t="e">
        <f t="shared" si="5"/>
        <v>#VALUE!</v>
      </c>
      <c r="O5" s="99" t="e">
        <f t="shared" si="6"/>
        <v>#VALUE!</v>
      </c>
      <c r="P5" s="99" t="e">
        <f t="shared" si="7"/>
        <v>#VALUE!</v>
      </c>
      <c r="Q5" s="99" t="e">
        <f t="shared" si="8"/>
        <v>#VALUE!</v>
      </c>
      <c r="R5" s="99" t="e">
        <f t="shared" si="0"/>
        <v>#VALUE!</v>
      </c>
      <c r="S5" s="99" t="e">
        <f t="shared" si="1"/>
        <v>#VALUE!</v>
      </c>
      <c r="T5" s="99" t="e">
        <f t="shared" si="2"/>
        <v>#VALUE!</v>
      </c>
      <c r="U5" s="99" t="e">
        <f t="shared" si="3"/>
        <v>#VALUE!</v>
      </c>
      <c r="V5" s="117" t="s">
        <v>365</v>
      </c>
      <c r="W5" s="150">
        <v>45291</v>
      </c>
      <c r="X5" s="22" t="s">
        <v>22</v>
      </c>
      <c r="Y5" s="132" t="s">
        <v>366</v>
      </c>
      <c r="Z5" s="143">
        <v>45471</v>
      </c>
      <c r="AA5" s="133">
        <v>164.92</v>
      </c>
      <c r="AB5" s="116" t="s">
        <v>367</v>
      </c>
      <c r="AH5" s="114"/>
      <c r="AI5" s="114"/>
      <c r="AJ5" s="114"/>
      <c r="AK5" s="115"/>
    </row>
    <row r="6" spans="1:37" ht="15.75" thickBot="1">
      <c r="A6">
        <v>18163</v>
      </c>
      <c r="B6" s="148">
        <v>41060</v>
      </c>
      <c r="C6" t="s">
        <v>361</v>
      </c>
      <c r="D6" t="s">
        <v>316</v>
      </c>
      <c r="E6" t="s">
        <v>362</v>
      </c>
      <c r="F6">
        <v>21446</v>
      </c>
      <c r="G6" t="s">
        <v>361</v>
      </c>
      <c r="H6">
        <v>62.290000915527344</v>
      </c>
      <c r="I6">
        <v>-2.1213049069046974E-2</v>
      </c>
      <c r="J6">
        <v>-6.5590220000000005E-2</v>
      </c>
      <c r="K6">
        <v>-6.8418099999999996E-2</v>
      </c>
      <c r="L6">
        <v>-6.2650670000000006E-2</v>
      </c>
      <c r="M6" s="23">
        <f t="shared" si="4"/>
        <v>41060</v>
      </c>
      <c r="N6" s="99" t="e">
        <f t="shared" si="5"/>
        <v>#VALUE!</v>
      </c>
      <c r="O6" s="99" t="e">
        <f t="shared" si="6"/>
        <v>#VALUE!</v>
      </c>
      <c r="P6" s="99" t="e">
        <f t="shared" si="7"/>
        <v>#VALUE!</v>
      </c>
      <c r="Q6" s="99" t="e">
        <f t="shared" si="8"/>
        <v>#VALUE!</v>
      </c>
      <c r="R6" s="99" t="e">
        <f t="shared" si="0"/>
        <v>#VALUE!</v>
      </c>
      <c r="S6" s="99" t="e">
        <f t="shared" si="1"/>
        <v>#VALUE!</v>
      </c>
      <c r="T6" s="99" t="e">
        <f t="shared" si="2"/>
        <v>#VALUE!</v>
      </c>
      <c r="U6" s="99" t="e">
        <f t="shared" si="3"/>
        <v>#VALUE!</v>
      </c>
      <c r="Y6" s="24"/>
      <c r="Z6" s="24"/>
      <c r="AA6" s="24"/>
      <c r="AB6" s="24"/>
      <c r="AH6" s="114"/>
      <c r="AI6" s="114"/>
      <c r="AJ6" s="114"/>
      <c r="AK6" s="115"/>
    </row>
    <row r="7" spans="1:37" ht="15">
      <c r="A7">
        <v>18163</v>
      </c>
      <c r="B7" s="148">
        <v>41089</v>
      </c>
      <c r="C7" t="s">
        <v>361</v>
      </c>
      <c r="D7" t="s">
        <v>316</v>
      </c>
      <c r="E7" t="s">
        <v>362</v>
      </c>
      <c r="F7">
        <v>21446</v>
      </c>
      <c r="G7" t="s">
        <v>361</v>
      </c>
      <c r="H7">
        <v>61.25</v>
      </c>
      <c r="I7">
        <v>-1.6696114093065262E-2</v>
      </c>
      <c r="J7">
        <v>3.8150870000000003E-2</v>
      </c>
      <c r="K7">
        <v>3.4187990000000001E-2</v>
      </c>
      <c r="L7">
        <v>3.955492E-2</v>
      </c>
      <c r="M7" s="23">
        <f t="shared" si="4"/>
        <v>41089</v>
      </c>
      <c r="N7" s="99" t="e">
        <f t="shared" si="5"/>
        <v>#VALUE!</v>
      </c>
      <c r="O7" s="99" t="e">
        <f t="shared" si="6"/>
        <v>#VALUE!</v>
      </c>
      <c r="P7" s="99" t="e">
        <f t="shared" si="7"/>
        <v>#VALUE!</v>
      </c>
      <c r="Q7" s="99" t="e">
        <f t="shared" si="8"/>
        <v>#VALUE!</v>
      </c>
      <c r="R7" s="99" t="e">
        <f t="shared" si="0"/>
        <v>#VALUE!</v>
      </c>
      <c r="S7" s="99" t="e">
        <f t="shared" si="1"/>
        <v>#VALUE!</v>
      </c>
      <c r="T7" s="99" t="e">
        <f t="shared" si="2"/>
        <v>#VALUE!</v>
      </c>
      <c r="U7" s="99" t="e">
        <f t="shared" si="3"/>
        <v>#VALUE!</v>
      </c>
      <c r="V7" s="122" t="s">
        <v>368</v>
      </c>
      <c r="W7" s="123">
        <v>60</v>
      </c>
      <c r="Y7" s="461" t="s">
        <v>369</v>
      </c>
      <c r="Z7" s="461"/>
      <c r="AA7" s="461"/>
      <c r="AB7" s="462"/>
      <c r="AH7" s="114"/>
      <c r="AI7" s="114"/>
      <c r="AJ7" s="114"/>
      <c r="AK7" s="115"/>
    </row>
    <row r="8" spans="1:37" ht="15.75" thickBot="1">
      <c r="A8">
        <v>18163</v>
      </c>
      <c r="B8" s="148">
        <v>41121</v>
      </c>
      <c r="C8" t="s">
        <v>361</v>
      </c>
      <c r="D8" t="s">
        <v>316</v>
      </c>
      <c r="E8" t="s">
        <v>362</v>
      </c>
      <c r="F8">
        <v>21446</v>
      </c>
      <c r="G8" t="s">
        <v>361</v>
      </c>
      <c r="H8">
        <v>64.540000915527344</v>
      </c>
      <c r="I8">
        <v>6.2889806926250458E-2</v>
      </c>
      <c r="J8">
        <v>1.030725E-2</v>
      </c>
      <c r="K8">
        <v>-3.2805660000000004E-3</v>
      </c>
      <c r="L8">
        <v>1.259764E-2</v>
      </c>
      <c r="M8" s="23">
        <f t="shared" si="4"/>
        <v>41121</v>
      </c>
      <c r="N8" s="99" t="e">
        <f t="shared" si="5"/>
        <v>#VALUE!</v>
      </c>
      <c r="O8" s="99" t="e">
        <f t="shared" si="6"/>
        <v>#VALUE!</v>
      </c>
      <c r="P8" s="99" t="e">
        <f t="shared" si="7"/>
        <v>#VALUE!</v>
      </c>
      <c r="Q8" s="99" t="e">
        <f t="shared" si="8"/>
        <v>#VALUE!</v>
      </c>
      <c r="R8" s="99" t="e">
        <f t="shared" si="0"/>
        <v>#VALUE!</v>
      </c>
      <c r="S8" s="99" t="e">
        <f t="shared" si="1"/>
        <v>#VALUE!</v>
      </c>
      <c r="T8" s="99" t="e">
        <f t="shared" si="2"/>
        <v>#VALUE!</v>
      </c>
      <c r="U8" s="99" t="e">
        <f t="shared" si="3"/>
        <v>#VALUE!</v>
      </c>
      <c r="V8" s="124" t="s">
        <v>370</v>
      </c>
      <c r="W8" s="125">
        <v>120</v>
      </c>
      <c r="Y8" s="24"/>
      <c r="Z8" s="24"/>
      <c r="AA8" s="24"/>
      <c r="AB8" s="24"/>
      <c r="AH8" s="114"/>
      <c r="AI8" s="114"/>
      <c r="AJ8" s="114"/>
      <c r="AK8" s="115"/>
    </row>
    <row r="9" spans="1:37" ht="15">
      <c r="A9">
        <v>18163</v>
      </c>
      <c r="B9" s="148">
        <v>41152</v>
      </c>
      <c r="C9" t="s">
        <v>361</v>
      </c>
      <c r="D9" t="s">
        <v>316</v>
      </c>
      <c r="E9" t="s">
        <v>362</v>
      </c>
      <c r="F9">
        <v>21446</v>
      </c>
      <c r="G9" t="s">
        <v>361</v>
      </c>
      <c r="H9">
        <v>67.19000244140625</v>
      </c>
      <c r="I9">
        <v>4.1059829294681549E-2</v>
      </c>
      <c r="J9">
        <v>2.631677E-2</v>
      </c>
      <c r="K9">
        <v>2.4819050000000002E-2</v>
      </c>
      <c r="L9">
        <v>1.9763360000000001E-2</v>
      </c>
      <c r="M9" s="23">
        <f t="shared" si="4"/>
        <v>41152</v>
      </c>
      <c r="N9" s="99" t="e">
        <f t="shared" si="5"/>
        <v>#VALUE!</v>
      </c>
      <c r="O9" s="99" t="e">
        <f t="shared" si="6"/>
        <v>#VALUE!</v>
      </c>
      <c r="P9" s="99" t="e">
        <f t="shared" si="7"/>
        <v>#VALUE!</v>
      </c>
      <c r="Q9" s="99" t="e">
        <f t="shared" si="8"/>
        <v>#VALUE!</v>
      </c>
      <c r="R9" s="99" t="e">
        <f t="shared" si="0"/>
        <v>#VALUE!</v>
      </c>
      <c r="S9" s="99" t="e">
        <f t="shared" si="1"/>
        <v>#VALUE!</v>
      </c>
      <c r="T9" s="99" t="e">
        <f t="shared" si="2"/>
        <v>#VALUE!</v>
      </c>
      <c r="U9" s="99" t="e">
        <f t="shared" si="3"/>
        <v>#VALUE!</v>
      </c>
      <c r="V9" s="384"/>
      <c r="W9" s="384"/>
      <c r="X9" s="384"/>
      <c r="Y9" s="24"/>
      <c r="Z9" s="24"/>
      <c r="AA9" s="24"/>
      <c r="AB9" s="24"/>
      <c r="AH9" s="114"/>
      <c r="AI9" s="114"/>
      <c r="AJ9" s="114"/>
      <c r="AK9" s="115"/>
    </row>
    <row r="10" spans="1:37" ht="15">
      <c r="A10">
        <v>18163</v>
      </c>
      <c r="B10" s="148">
        <v>41180</v>
      </c>
      <c r="C10" t="s">
        <v>361</v>
      </c>
      <c r="D10" t="s">
        <v>316</v>
      </c>
      <c r="E10" t="s">
        <v>362</v>
      </c>
      <c r="F10">
        <v>21446</v>
      </c>
      <c r="G10" t="s">
        <v>361</v>
      </c>
      <c r="H10">
        <v>69.360000610351563</v>
      </c>
      <c r="I10">
        <v>3.2296445220708847E-2</v>
      </c>
      <c r="J10">
        <v>2.6513270000000002E-2</v>
      </c>
      <c r="K10">
        <v>3.4925160000000004E-2</v>
      </c>
      <c r="L10">
        <v>2.4236090000000002E-2</v>
      </c>
      <c r="M10" s="23">
        <f t="shared" si="4"/>
        <v>41180</v>
      </c>
      <c r="N10" s="99" t="e">
        <f t="shared" si="5"/>
        <v>#VALUE!</v>
      </c>
      <c r="O10" s="99" t="e">
        <f t="shared" si="6"/>
        <v>#VALUE!</v>
      </c>
      <c r="P10" s="99" t="e">
        <f t="shared" si="7"/>
        <v>#VALUE!</v>
      </c>
      <c r="Q10" s="99" t="e">
        <f t="shared" si="8"/>
        <v>#VALUE!</v>
      </c>
      <c r="R10" s="99" t="e">
        <f t="shared" si="0"/>
        <v>#VALUE!</v>
      </c>
      <c r="S10" s="99" t="e">
        <f t="shared" si="1"/>
        <v>#VALUE!</v>
      </c>
      <c r="T10" s="99" t="e">
        <f t="shared" si="2"/>
        <v>#VALUE!</v>
      </c>
      <c r="U10" s="99" t="e">
        <f t="shared" si="3"/>
        <v>#VALUE!</v>
      </c>
      <c r="V10" s="384"/>
      <c r="W10" s="384"/>
      <c r="X10" s="384"/>
      <c r="Y10" s="24"/>
      <c r="Z10" s="24"/>
      <c r="AA10" s="24"/>
      <c r="AB10" s="24"/>
      <c r="AH10" s="114"/>
      <c r="AI10" s="114"/>
      <c r="AJ10" s="114"/>
      <c r="AK10" s="115"/>
    </row>
    <row r="11" spans="1:37" ht="22.5" customHeight="1" thickBot="1">
      <c r="A11">
        <v>18163</v>
      </c>
      <c r="B11" s="148">
        <v>41213</v>
      </c>
      <c r="C11" t="s">
        <v>361</v>
      </c>
      <c r="D11" t="s">
        <v>316</v>
      </c>
      <c r="E11" t="s">
        <v>362</v>
      </c>
      <c r="F11">
        <v>21446</v>
      </c>
      <c r="G11" t="s">
        <v>361</v>
      </c>
      <c r="H11">
        <v>69.239997863769531</v>
      </c>
      <c r="I11">
        <v>6.3725090585649014E-3</v>
      </c>
      <c r="J11">
        <v>-1.4054500000000001E-2</v>
      </c>
      <c r="K11">
        <v>-1.3476989999999999E-2</v>
      </c>
      <c r="L11">
        <v>-1.9789400000000002E-2</v>
      </c>
      <c r="M11" s="23">
        <f t="shared" si="4"/>
        <v>41213</v>
      </c>
      <c r="N11" s="99" t="e">
        <f t="shared" si="5"/>
        <v>#VALUE!</v>
      </c>
      <c r="O11" s="99" t="e">
        <f t="shared" si="6"/>
        <v>#VALUE!</v>
      </c>
      <c r="P11" s="99" t="e">
        <f t="shared" si="7"/>
        <v>#VALUE!</v>
      </c>
      <c r="Q11" s="99" t="e">
        <f t="shared" si="8"/>
        <v>#VALUE!</v>
      </c>
      <c r="R11" s="99" t="e">
        <f t="shared" si="0"/>
        <v>#VALUE!</v>
      </c>
      <c r="S11" s="99" t="e">
        <f t="shared" si="1"/>
        <v>#VALUE!</v>
      </c>
      <c r="T11" s="99" t="e">
        <f t="shared" si="2"/>
        <v>#VALUE!</v>
      </c>
      <c r="U11" s="99" t="e">
        <f t="shared" si="3"/>
        <v>#VALUE!</v>
      </c>
      <c r="Y11" s="460" t="s">
        <v>22</v>
      </c>
      <c r="Z11" s="460"/>
      <c r="AA11" s="460"/>
      <c r="AB11" s="460"/>
      <c r="AH11" s="114"/>
      <c r="AI11" s="114"/>
      <c r="AJ11" s="114"/>
      <c r="AK11" s="115"/>
    </row>
    <row r="12" spans="1:37" ht="15.75" thickBot="1">
      <c r="A12">
        <v>18163</v>
      </c>
      <c r="B12" s="148">
        <v>41243</v>
      </c>
      <c r="C12" t="s">
        <v>361</v>
      </c>
      <c r="D12" t="s">
        <v>316</v>
      </c>
      <c r="E12" t="s">
        <v>362</v>
      </c>
      <c r="F12">
        <v>21446</v>
      </c>
      <c r="G12" t="s">
        <v>361</v>
      </c>
      <c r="H12">
        <v>69.830001831054688</v>
      </c>
      <c r="I12">
        <v>8.5211433470249176E-3</v>
      </c>
      <c r="J12">
        <v>6.2167580000000002E-3</v>
      </c>
      <c r="K12">
        <v>2.790037E-3</v>
      </c>
      <c r="L12">
        <v>2.8467030000000003E-3</v>
      </c>
      <c r="M12" s="23">
        <f t="shared" si="4"/>
        <v>41243</v>
      </c>
      <c r="N12" s="99" t="e">
        <f t="shared" si="5"/>
        <v>#VALUE!</v>
      </c>
      <c r="O12" s="99" t="e">
        <f t="shared" si="6"/>
        <v>#VALUE!</v>
      </c>
      <c r="P12" s="99" t="e">
        <f t="shared" si="7"/>
        <v>#VALUE!</v>
      </c>
      <c r="Q12" s="99" t="e">
        <f t="shared" si="8"/>
        <v>#VALUE!</v>
      </c>
      <c r="R12" s="99" t="e">
        <f t="shared" si="0"/>
        <v>#VALUE!</v>
      </c>
      <c r="S12" s="99" t="e">
        <f t="shared" si="1"/>
        <v>#VALUE!</v>
      </c>
      <c r="T12" s="99" t="e">
        <f t="shared" si="2"/>
        <v>#VALUE!</v>
      </c>
      <c r="U12" s="99" t="e">
        <f t="shared" si="3"/>
        <v>#VALUE!</v>
      </c>
      <c r="V12" s="126" t="s">
        <v>371</v>
      </c>
      <c r="W12" s="418" t="s">
        <v>22</v>
      </c>
      <c r="X12" s="141" t="e">
        <f ca="1">_xlfn.FORMULATEXT(W12)</f>
        <v>#N/A</v>
      </c>
      <c r="Y12" s="24"/>
      <c r="Z12" s="24"/>
      <c r="AA12" s="24"/>
      <c r="AB12" s="24"/>
      <c r="AC12" s="22" t="s">
        <v>22</v>
      </c>
      <c r="AD12" s="22" t="s">
        <v>22</v>
      </c>
      <c r="AH12" s="114"/>
      <c r="AI12" s="114"/>
      <c r="AJ12" s="114"/>
      <c r="AK12" s="115"/>
    </row>
    <row r="13" spans="1:37" ht="15.75" thickBot="1">
      <c r="A13">
        <v>18163</v>
      </c>
      <c r="B13" s="148">
        <v>41274</v>
      </c>
      <c r="C13" t="s">
        <v>361</v>
      </c>
      <c r="D13" t="s">
        <v>316</v>
      </c>
      <c r="E13" t="s">
        <v>362</v>
      </c>
      <c r="F13">
        <v>21446</v>
      </c>
      <c r="G13" t="s">
        <v>361</v>
      </c>
      <c r="H13">
        <v>67.889999389648438</v>
      </c>
      <c r="I13">
        <v>-2.7781790122389793E-2</v>
      </c>
      <c r="J13">
        <v>1.2568590000000001E-2</v>
      </c>
      <c r="K13">
        <v>2.1871740000000001E-2</v>
      </c>
      <c r="L13">
        <v>7.0683100000000004E-3</v>
      </c>
      <c r="M13" s="23">
        <f t="shared" si="4"/>
        <v>41274</v>
      </c>
      <c r="N13" s="99" t="e">
        <f t="shared" si="5"/>
        <v>#VALUE!</v>
      </c>
      <c r="O13" s="99" t="e">
        <f t="shared" si="6"/>
        <v>#VALUE!</v>
      </c>
      <c r="P13" s="99" t="e">
        <f t="shared" si="7"/>
        <v>#VALUE!</v>
      </c>
      <c r="Q13" s="99" t="e">
        <f t="shared" si="8"/>
        <v>#VALUE!</v>
      </c>
      <c r="R13" s="99" t="e">
        <f t="shared" si="0"/>
        <v>#VALUE!</v>
      </c>
      <c r="S13" s="99" t="e">
        <f t="shared" si="1"/>
        <v>#VALUE!</v>
      </c>
      <c r="T13" s="99" t="e">
        <f t="shared" si="2"/>
        <v>#VALUE!</v>
      </c>
      <c r="U13" s="99" t="e">
        <f t="shared" si="3"/>
        <v>#VALUE!</v>
      </c>
      <c r="V13" s="127" t="s">
        <v>372</v>
      </c>
      <c r="W13" s="150">
        <v>45291</v>
      </c>
      <c r="Y13" s="22" t="s">
        <v>22</v>
      </c>
      <c r="AD13" s="22" t="s">
        <v>22</v>
      </c>
      <c r="AH13" s="114"/>
      <c r="AI13" s="114"/>
      <c r="AJ13" s="114"/>
      <c r="AK13" s="115"/>
    </row>
    <row r="14" spans="1:37" ht="15.75" thickBot="1">
      <c r="A14">
        <v>18163</v>
      </c>
      <c r="B14" s="148">
        <v>41305</v>
      </c>
      <c r="C14" t="s">
        <v>361</v>
      </c>
      <c r="D14" t="s">
        <v>316</v>
      </c>
      <c r="E14" t="s">
        <v>362</v>
      </c>
      <c r="F14">
        <v>21446</v>
      </c>
      <c r="G14" t="s">
        <v>361</v>
      </c>
      <c r="H14">
        <v>75.160003662109375</v>
      </c>
      <c r="I14">
        <v>0.11536315083503723</v>
      </c>
      <c r="J14">
        <v>5.4142099999999999E-2</v>
      </c>
      <c r="K14">
        <v>6.3509360000000001E-2</v>
      </c>
      <c r="L14">
        <v>5.0428060000000004E-2</v>
      </c>
      <c r="M14" s="23">
        <f t="shared" si="4"/>
        <v>41305</v>
      </c>
      <c r="N14" s="99" t="e">
        <f t="shared" si="5"/>
        <v>#VALUE!</v>
      </c>
      <c r="O14" s="99" t="e">
        <f t="shared" si="6"/>
        <v>#VALUE!</v>
      </c>
      <c r="P14" s="99" t="e">
        <f t="shared" si="7"/>
        <v>#VALUE!</v>
      </c>
      <c r="Q14" s="99" t="e">
        <f t="shared" si="8"/>
        <v>#VALUE!</v>
      </c>
      <c r="R14" s="99" t="e">
        <f t="shared" si="0"/>
        <v>#VALUE!</v>
      </c>
      <c r="S14" s="99" t="e">
        <f t="shared" si="1"/>
        <v>#VALUE!</v>
      </c>
      <c r="T14" s="99" t="e">
        <f t="shared" si="2"/>
        <v>#VALUE!</v>
      </c>
      <c r="U14" s="99" t="e">
        <f t="shared" si="3"/>
        <v>#VALUE!</v>
      </c>
      <c r="V14" s="127"/>
      <c r="W14" s="128"/>
      <c r="AH14" s="114"/>
      <c r="AI14" s="114"/>
      <c r="AJ14" s="114"/>
      <c r="AK14" s="115"/>
    </row>
    <row r="15" spans="1:37" ht="15.75" thickBot="1">
      <c r="A15">
        <v>18163</v>
      </c>
      <c r="B15" s="148">
        <v>41333</v>
      </c>
      <c r="C15" t="s">
        <v>361</v>
      </c>
      <c r="D15" t="s">
        <v>316</v>
      </c>
      <c r="E15" t="s">
        <v>362</v>
      </c>
      <c r="F15">
        <v>21446</v>
      </c>
      <c r="G15" t="s">
        <v>361</v>
      </c>
      <c r="H15">
        <v>76.180000305175781</v>
      </c>
      <c r="I15">
        <v>1.3571003451943398E-2</v>
      </c>
      <c r="J15">
        <v>8.2821920000000007E-3</v>
      </c>
      <c r="K15">
        <v>3.4906820000000002E-3</v>
      </c>
      <c r="L15">
        <v>1.10606E-2</v>
      </c>
      <c r="M15" s="23">
        <f t="shared" si="4"/>
        <v>41333</v>
      </c>
      <c r="N15" s="99" t="e">
        <f t="shared" si="5"/>
        <v>#VALUE!</v>
      </c>
      <c r="O15" s="99" t="e">
        <f t="shared" si="6"/>
        <v>#VALUE!</v>
      </c>
      <c r="P15" s="99" t="e">
        <f t="shared" si="7"/>
        <v>#VALUE!</v>
      </c>
      <c r="Q15" s="99" t="e">
        <f t="shared" si="8"/>
        <v>#VALUE!</v>
      </c>
      <c r="R15" s="99" t="e">
        <f t="shared" si="0"/>
        <v>#VALUE!</v>
      </c>
      <c r="S15" s="99" t="e">
        <f t="shared" si="1"/>
        <v>#VALUE!</v>
      </c>
      <c r="T15" s="99" t="e">
        <f t="shared" si="2"/>
        <v>#VALUE!</v>
      </c>
      <c r="U15" s="99" t="e">
        <f t="shared" si="3"/>
        <v>#VALUE!</v>
      </c>
      <c r="V15" s="127" t="s">
        <v>373</v>
      </c>
      <c r="W15" s="418" t="s">
        <v>22</v>
      </c>
      <c r="X15" s="141" t="e">
        <f ca="1">_xlfn.FORMULATEXT(W15)</f>
        <v>#N/A</v>
      </c>
      <c r="AH15" s="114"/>
      <c r="AI15" s="114"/>
      <c r="AJ15" s="114"/>
      <c r="AK15" s="115"/>
    </row>
    <row r="16" spans="1:37" ht="15.75" thickBot="1">
      <c r="A16">
        <v>18163</v>
      </c>
      <c r="B16" s="148">
        <v>41361</v>
      </c>
      <c r="C16" t="s">
        <v>361</v>
      </c>
      <c r="D16" t="s">
        <v>316</v>
      </c>
      <c r="E16" t="s">
        <v>362</v>
      </c>
      <c r="F16">
        <v>21446</v>
      </c>
      <c r="G16" t="s">
        <v>361</v>
      </c>
      <c r="H16">
        <v>77.05999755859375</v>
      </c>
      <c r="I16">
        <v>1.1551552452147007E-2</v>
      </c>
      <c r="J16">
        <v>3.5294610000000004E-2</v>
      </c>
      <c r="K16">
        <v>3.1418740000000001E-2</v>
      </c>
      <c r="L16">
        <v>3.59878E-2</v>
      </c>
      <c r="M16" s="23">
        <f t="shared" si="4"/>
        <v>41361</v>
      </c>
      <c r="N16" s="99" t="e">
        <f t="shared" si="5"/>
        <v>#VALUE!</v>
      </c>
      <c r="O16" s="99" t="e">
        <f t="shared" si="6"/>
        <v>#VALUE!</v>
      </c>
      <c r="P16" s="99" t="e">
        <f t="shared" si="7"/>
        <v>#VALUE!</v>
      </c>
      <c r="Q16" s="99" t="e">
        <f t="shared" si="8"/>
        <v>#VALUE!</v>
      </c>
      <c r="R16" s="99" t="e">
        <f t="shared" si="0"/>
        <v>#VALUE!</v>
      </c>
      <c r="S16" s="99" t="e">
        <f t="shared" si="1"/>
        <v>#VALUE!</v>
      </c>
      <c r="T16" s="99" t="e">
        <f t="shared" si="2"/>
        <v>#VALUE!</v>
      </c>
      <c r="U16" s="99" t="e">
        <f t="shared" si="3"/>
        <v>#VALUE!</v>
      </c>
      <c r="V16" s="124" t="s">
        <v>374</v>
      </c>
      <c r="W16" s="150">
        <v>45291</v>
      </c>
      <c r="AH16" s="114"/>
      <c r="AI16" s="114"/>
      <c r="AJ16" s="114"/>
      <c r="AK16" s="115"/>
    </row>
    <row r="17" spans="1:37" ht="15.75" thickBot="1">
      <c r="A17">
        <v>18163</v>
      </c>
      <c r="B17" s="148">
        <v>41394</v>
      </c>
      <c r="C17" t="s">
        <v>361</v>
      </c>
      <c r="D17" t="s">
        <v>316</v>
      </c>
      <c r="E17" t="s">
        <v>362</v>
      </c>
      <c r="F17">
        <v>21446</v>
      </c>
      <c r="G17" t="s">
        <v>361</v>
      </c>
      <c r="H17">
        <v>76.769996643066406</v>
      </c>
      <c r="I17">
        <v>4.0422924794256687E-3</v>
      </c>
      <c r="J17">
        <v>1.4938660000000001E-2</v>
      </c>
      <c r="K17">
        <v>2.4771910000000001E-3</v>
      </c>
      <c r="L17">
        <v>1.8085759999999999E-2</v>
      </c>
      <c r="M17" s="23">
        <f t="shared" si="4"/>
        <v>41394</v>
      </c>
      <c r="N17" s="99" t="e">
        <f t="shared" si="5"/>
        <v>#VALUE!</v>
      </c>
      <c r="O17" s="99" t="e">
        <f t="shared" si="6"/>
        <v>#VALUE!</v>
      </c>
      <c r="P17" s="99" t="e">
        <f t="shared" si="7"/>
        <v>#VALUE!</v>
      </c>
      <c r="Q17" s="99" t="e">
        <f t="shared" si="8"/>
        <v>#VALUE!</v>
      </c>
      <c r="R17" s="99" t="e">
        <f t="shared" si="0"/>
        <v>#VALUE!</v>
      </c>
      <c r="S17" s="99" t="e">
        <f t="shared" si="1"/>
        <v>#VALUE!</v>
      </c>
      <c r="T17" s="99" t="e">
        <f t="shared" si="2"/>
        <v>#VALUE!</v>
      </c>
      <c r="U17" s="99" t="e">
        <f t="shared" si="3"/>
        <v>#VALUE!</v>
      </c>
      <c r="AH17" s="114"/>
      <c r="AI17" s="114"/>
      <c r="AJ17" s="114"/>
      <c r="AK17" s="115"/>
    </row>
    <row r="18" spans="1:37" ht="15">
      <c r="A18">
        <v>18163</v>
      </c>
      <c r="B18" s="148">
        <v>41425</v>
      </c>
      <c r="C18" t="s">
        <v>361</v>
      </c>
      <c r="D18" t="s">
        <v>316</v>
      </c>
      <c r="E18" t="s">
        <v>362</v>
      </c>
      <c r="F18">
        <v>21446</v>
      </c>
      <c r="G18" t="s">
        <v>361</v>
      </c>
      <c r="H18">
        <v>76.760002136230469</v>
      </c>
      <c r="I18">
        <v>-1.301876618526876E-4</v>
      </c>
      <c r="J18">
        <v>1.912778E-2</v>
      </c>
      <c r="K18">
        <v>2.3985349999999999E-2</v>
      </c>
      <c r="L18">
        <v>2.0762780000000002E-2</v>
      </c>
      <c r="M18" s="23">
        <f t="shared" si="4"/>
        <v>41425</v>
      </c>
      <c r="N18" s="99" t="e">
        <f t="shared" si="5"/>
        <v>#VALUE!</v>
      </c>
      <c r="O18" s="99" t="e">
        <f t="shared" si="6"/>
        <v>#VALUE!</v>
      </c>
      <c r="P18" s="99" t="e">
        <f t="shared" si="7"/>
        <v>#VALUE!</v>
      </c>
      <c r="Q18" s="99" t="e">
        <f t="shared" si="8"/>
        <v>#VALUE!</v>
      </c>
      <c r="R18" s="99" t="e">
        <f t="shared" si="0"/>
        <v>#VALUE!</v>
      </c>
      <c r="S18" s="99" t="e">
        <f t="shared" si="1"/>
        <v>#VALUE!</v>
      </c>
      <c r="T18" s="99" t="e">
        <f t="shared" si="2"/>
        <v>#VALUE!</v>
      </c>
      <c r="U18" s="99" t="e">
        <f t="shared" si="3"/>
        <v>#VALUE!</v>
      </c>
      <c r="V18" s="118" t="s">
        <v>375</v>
      </c>
      <c r="W18" s="119" t="s">
        <v>376</v>
      </c>
      <c r="Y18" s="49" t="s">
        <v>377</v>
      </c>
      <c r="Z18" s="50"/>
      <c r="AA18" s="50"/>
      <c r="AB18" s="51"/>
      <c r="AH18" s="114"/>
      <c r="AI18" s="114"/>
      <c r="AJ18" s="114"/>
      <c r="AK18" s="115"/>
    </row>
    <row r="19" spans="1:37" ht="28.5" customHeight="1">
      <c r="A19">
        <v>18163</v>
      </c>
      <c r="B19" s="148">
        <v>41453</v>
      </c>
      <c r="C19" t="s">
        <v>361</v>
      </c>
      <c r="D19" t="s">
        <v>316</v>
      </c>
      <c r="E19" t="s">
        <v>362</v>
      </c>
      <c r="F19">
        <v>21446</v>
      </c>
      <c r="G19" t="s">
        <v>361</v>
      </c>
      <c r="H19">
        <v>76.989997863769531</v>
      </c>
      <c r="I19">
        <v>2.9962966218590736E-3</v>
      </c>
      <c r="J19">
        <v>-1.5072220000000001E-2</v>
      </c>
      <c r="K19">
        <v>-1.3011969999999999E-2</v>
      </c>
      <c r="L19">
        <v>-1.499933E-2</v>
      </c>
      <c r="M19" s="23">
        <f t="shared" si="4"/>
        <v>41453</v>
      </c>
      <c r="N19" s="99" t="e">
        <f t="shared" si="5"/>
        <v>#VALUE!</v>
      </c>
      <c r="O19" s="99" t="e">
        <f t="shared" si="6"/>
        <v>#VALUE!</v>
      </c>
      <c r="P19" s="99" t="e">
        <f t="shared" si="7"/>
        <v>#VALUE!</v>
      </c>
      <c r="Q19" s="99" t="e">
        <f t="shared" si="8"/>
        <v>#VALUE!</v>
      </c>
      <c r="R19" s="99" t="e">
        <f t="shared" si="0"/>
        <v>#VALUE!</v>
      </c>
      <c r="S19" s="99" t="e">
        <f t="shared" si="1"/>
        <v>#VALUE!</v>
      </c>
      <c r="T19" s="99" t="e">
        <f t="shared" si="2"/>
        <v>#VALUE!</v>
      </c>
      <c r="U19" s="99" t="e">
        <f t="shared" si="3"/>
        <v>#VALUE!</v>
      </c>
      <c r="V19" s="120" t="s">
        <v>378</v>
      </c>
      <c r="W19" s="155"/>
      <c r="X19" s="25" t="e">
        <f t="shared" ref="X19:X24" ca="1" si="9">_xlfn.FORMULATEXT(W19)</f>
        <v>#N/A</v>
      </c>
      <c r="Y19" s="52" t="s">
        <v>379</v>
      </c>
      <c r="Z19" s="53"/>
      <c r="AA19" s="53"/>
      <c r="AB19" s="48"/>
      <c r="AH19" s="114"/>
      <c r="AI19" s="114"/>
      <c r="AJ19" s="114"/>
      <c r="AK19" s="115"/>
    </row>
    <row r="20" spans="1:37" ht="15">
      <c r="A20">
        <v>18163</v>
      </c>
      <c r="B20" s="148">
        <v>41486</v>
      </c>
      <c r="C20" t="s">
        <v>361</v>
      </c>
      <c r="D20" t="s">
        <v>316</v>
      </c>
      <c r="E20" t="s">
        <v>362</v>
      </c>
      <c r="F20">
        <v>21446</v>
      </c>
      <c r="G20" t="s">
        <v>361</v>
      </c>
      <c r="H20">
        <v>80.300003051757813</v>
      </c>
      <c r="I20">
        <v>5.0805367529392242E-2</v>
      </c>
      <c r="J20">
        <v>5.2658040000000003E-2</v>
      </c>
      <c r="K20">
        <v>5.4898280000000001E-2</v>
      </c>
      <c r="L20">
        <v>4.9462110000000004E-2</v>
      </c>
      <c r="M20" s="23">
        <f t="shared" si="4"/>
        <v>41486</v>
      </c>
      <c r="N20" s="99" t="e">
        <f t="shared" si="5"/>
        <v>#VALUE!</v>
      </c>
      <c r="O20" s="99" t="e">
        <f t="shared" si="6"/>
        <v>#VALUE!</v>
      </c>
      <c r="P20" s="99" t="e">
        <f t="shared" si="7"/>
        <v>#VALUE!</v>
      </c>
      <c r="Q20" s="99" t="e">
        <f t="shared" si="8"/>
        <v>#VALUE!</v>
      </c>
      <c r="R20" s="99" t="e">
        <f t="shared" si="0"/>
        <v>#VALUE!</v>
      </c>
      <c r="S20" s="99" t="e">
        <f t="shared" si="1"/>
        <v>#VALUE!</v>
      </c>
      <c r="T20" s="99" t="e">
        <f t="shared" si="2"/>
        <v>#VALUE!</v>
      </c>
      <c r="U20" s="99" t="e">
        <f t="shared" si="3"/>
        <v>#VALUE!</v>
      </c>
      <c r="V20" s="120" t="s">
        <v>380</v>
      </c>
      <c r="W20" s="155"/>
      <c r="X20" s="25" t="e">
        <f t="shared" ca="1" si="9"/>
        <v>#N/A</v>
      </c>
      <c r="Y20" s="52" t="s">
        <v>381</v>
      </c>
      <c r="Z20" s="53"/>
      <c r="AA20" s="53"/>
      <c r="AB20" s="48"/>
      <c r="AH20" s="114"/>
      <c r="AI20" s="114"/>
      <c r="AJ20" s="114"/>
      <c r="AK20" s="115"/>
    </row>
    <row r="21" spans="1:37" ht="15">
      <c r="A21">
        <v>18163</v>
      </c>
      <c r="B21" s="148">
        <v>41516</v>
      </c>
      <c r="C21" t="s">
        <v>361</v>
      </c>
      <c r="D21" t="s">
        <v>316</v>
      </c>
      <c r="E21" t="s">
        <v>362</v>
      </c>
      <c r="F21">
        <v>21446</v>
      </c>
      <c r="G21" t="s">
        <v>361</v>
      </c>
      <c r="H21">
        <v>77.889999389648438</v>
      </c>
      <c r="I21">
        <v>-3.0012497678399086E-2</v>
      </c>
      <c r="J21">
        <v>-2.5750040000000002E-2</v>
      </c>
      <c r="K21">
        <v>-1.7277870000000001E-2</v>
      </c>
      <c r="L21">
        <v>-3.1298010000000001E-2</v>
      </c>
      <c r="M21" s="23">
        <f t="shared" si="4"/>
        <v>41516</v>
      </c>
      <c r="N21" s="99" t="e">
        <f t="shared" si="5"/>
        <v>#VALUE!</v>
      </c>
      <c r="O21" s="99" t="e">
        <f t="shared" si="6"/>
        <v>#VALUE!</v>
      </c>
      <c r="P21" s="99" t="e">
        <f t="shared" si="7"/>
        <v>#VALUE!</v>
      </c>
      <c r="Q21" s="99" t="e">
        <f t="shared" si="8"/>
        <v>#VALUE!</v>
      </c>
      <c r="R21" s="99" t="e">
        <f t="shared" ref="R21:R75" si="10">IF(AND(($W$15-4)&lt;=$M21,($W$16)&gt;=($M21-4)),I21," ")</f>
        <v>#VALUE!</v>
      </c>
      <c r="S21" s="99" t="e">
        <f t="shared" ref="S21:S75" si="11">IF(AND(($W$15-4)&lt;=$M21,($W$16)&gt;=($M21-4)),J21," ")</f>
        <v>#VALUE!</v>
      </c>
      <c r="T21" s="99" t="e">
        <f t="shared" ref="T21:T75" si="12">IF(AND(($W$15-4)&lt;=$M21,($W$16)&gt;=($M21-4)),K21," ")</f>
        <v>#VALUE!</v>
      </c>
      <c r="U21" s="99" t="e">
        <f t="shared" ref="U21:U79" si="13">IF(AND(($W$15-4)&lt;=$M21,($W$16)&gt;=($M21-4)),L21," ")</f>
        <v>#VALUE!</v>
      </c>
      <c r="V21" s="120" t="s">
        <v>382</v>
      </c>
      <c r="W21" s="155"/>
      <c r="X21" s="25" t="e">
        <f t="shared" ca="1" si="9"/>
        <v>#N/A</v>
      </c>
      <c r="Y21" s="54" t="s">
        <v>383</v>
      </c>
      <c r="Z21" s="53"/>
      <c r="AA21" s="53"/>
      <c r="AB21" s="48"/>
      <c r="AH21" s="114"/>
      <c r="AI21" s="114"/>
      <c r="AJ21" s="114"/>
      <c r="AK21" s="115"/>
    </row>
    <row r="22" spans="1:37" ht="15">
      <c r="A22">
        <v>18163</v>
      </c>
      <c r="B22" s="148">
        <v>41547</v>
      </c>
      <c r="C22" t="s">
        <v>361</v>
      </c>
      <c r="D22" t="s">
        <v>316</v>
      </c>
      <c r="E22" t="s">
        <v>362</v>
      </c>
      <c r="F22">
        <v>21446</v>
      </c>
      <c r="G22" t="s">
        <v>361</v>
      </c>
      <c r="H22">
        <v>75.589996337890625</v>
      </c>
      <c r="I22">
        <v>-2.9528861865401268E-2</v>
      </c>
      <c r="J22">
        <v>3.7497210000000003E-2</v>
      </c>
      <c r="K22">
        <v>5.1828360000000004E-2</v>
      </c>
      <c r="L22">
        <v>2.9749480000000002E-2</v>
      </c>
      <c r="M22" s="23">
        <f t="shared" si="4"/>
        <v>41547</v>
      </c>
      <c r="N22" s="99" t="e">
        <f t="shared" si="5"/>
        <v>#VALUE!</v>
      </c>
      <c r="O22" s="99" t="e">
        <f t="shared" si="6"/>
        <v>#VALUE!</v>
      </c>
      <c r="P22" s="99" t="e">
        <f t="shared" si="7"/>
        <v>#VALUE!</v>
      </c>
      <c r="Q22" s="99" t="e">
        <f t="shared" si="8"/>
        <v>#VALUE!</v>
      </c>
      <c r="R22" s="99" t="e">
        <f t="shared" si="10"/>
        <v>#VALUE!</v>
      </c>
      <c r="S22" s="99" t="e">
        <f t="shared" si="11"/>
        <v>#VALUE!</v>
      </c>
      <c r="T22" s="99" t="e">
        <f t="shared" si="12"/>
        <v>#VALUE!</v>
      </c>
      <c r="U22" s="99" t="e">
        <f t="shared" si="13"/>
        <v>#VALUE!</v>
      </c>
      <c r="V22" s="120" t="s">
        <v>384</v>
      </c>
      <c r="W22" s="155"/>
      <c r="X22" s="25" t="e">
        <f t="shared" ca="1" si="9"/>
        <v>#N/A</v>
      </c>
      <c r="Y22" s="52" t="s">
        <v>385</v>
      </c>
      <c r="Z22" s="53"/>
      <c r="AA22" s="53"/>
      <c r="AB22" s="48"/>
      <c r="AH22" s="114"/>
      <c r="AI22" s="114"/>
      <c r="AJ22" s="114"/>
      <c r="AK22" s="115"/>
    </row>
    <row r="23" spans="1:37" ht="15">
      <c r="A23">
        <v>18163</v>
      </c>
      <c r="B23" s="148">
        <v>41578</v>
      </c>
      <c r="C23" t="s">
        <v>361</v>
      </c>
      <c r="D23" t="s">
        <v>316</v>
      </c>
      <c r="E23" t="s">
        <v>362</v>
      </c>
      <c r="F23">
        <v>21446</v>
      </c>
      <c r="G23" t="s">
        <v>361</v>
      </c>
      <c r="H23">
        <v>80.75</v>
      </c>
      <c r="I23">
        <v>7.6220452785491943E-2</v>
      </c>
      <c r="J23">
        <v>3.9888529999999998E-2</v>
      </c>
      <c r="K23">
        <v>2.5761909999999999E-2</v>
      </c>
      <c r="L23">
        <v>4.4595759999999998E-2</v>
      </c>
      <c r="M23" s="23">
        <f t="shared" si="4"/>
        <v>41578</v>
      </c>
      <c r="N23" s="99" t="e">
        <f t="shared" si="5"/>
        <v>#VALUE!</v>
      </c>
      <c r="O23" s="99" t="e">
        <f t="shared" si="6"/>
        <v>#VALUE!</v>
      </c>
      <c r="P23" s="99" t="e">
        <f t="shared" si="7"/>
        <v>#VALUE!</v>
      </c>
      <c r="Q23" s="99" t="e">
        <f t="shared" si="8"/>
        <v>#VALUE!</v>
      </c>
      <c r="R23" s="99" t="e">
        <f t="shared" si="10"/>
        <v>#VALUE!</v>
      </c>
      <c r="S23" s="99" t="e">
        <f t="shared" si="11"/>
        <v>#VALUE!</v>
      </c>
      <c r="T23" s="99" t="e">
        <f t="shared" si="12"/>
        <v>#VALUE!</v>
      </c>
      <c r="U23" s="99" t="e">
        <f t="shared" si="13"/>
        <v>#VALUE!</v>
      </c>
      <c r="V23" s="120" t="s">
        <v>386</v>
      </c>
      <c r="W23" s="155"/>
      <c r="X23" s="25" t="e">
        <f t="shared" ca="1" si="9"/>
        <v>#N/A</v>
      </c>
      <c r="Y23" s="52" t="s">
        <v>387</v>
      </c>
      <c r="Z23" s="53"/>
      <c r="AA23" s="53"/>
      <c r="AB23" s="48"/>
      <c r="AH23" s="114"/>
      <c r="AI23" s="114"/>
      <c r="AJ23" s="114"/>
      <c r="AK23" s="115"/>
    </row>
    <row r="24" spans="1:37" ht="15.75" thickBot="1">
      <c r="A24">
        <v>18163</v>
      </c>
      <c r="B24" s="148">
        <v>41607</v>
      </c>
      <c r="C24" t="s">
        <v>361</v>
      </c>
      <c r="D24" t="s">
        <v>316</v>
      </c>
      <c r="E24" t="s">
        <v>362</v>
      </c>
      <c r="F24">
        <v>21446</v>
      </c>
      <c r="G24" t="s">
        <v>361</v>
      </c>
      <c r="H24">
        <v>84.220001220703125</v>
      </c>
      <c r="I24">
        <v>4.2972151190042496E-2</v>
      </c>
      <c r="J24">
        <v>2.4956370000000002E-2</v>
      </c>
      <c r="K24">
        <v>2.3397770000000002E-2</v>
      </c>
      <c r="L24">
        <v>2.8049460000000002E-2</v>
      </c>
      <c r="M24" s="23">
        <f t="shared" si="4"/>
        <v>41607</v>
      </c>
      <c r="N24" s="99" t="e">
        <f t="shared" si="5"/>
        <v>#VALUE!</v>
      </c>
      <c r="O24" s="99" t="e">
        <f t="shared" si="6"/>
        <v>#VALUE!</v>
      </c>
      <c r="P24" s="99" t="e">
        <f t="shared" si="7"/>
        <v>#VALUE!</v>
      </c>
      <c r="Q24" s="99" t="e">
        <f t="shared" si="8"/>
        <v>#VALUE!</v>
      </c>
      <c r="R24" s="99" t="e">
        <f t="shared" si="10"/>
        <v>#VALUE!</v>
      </c>
      <c r="S24" s="99" t="e">
        <f t="shared" si="11"/>
        <v>#VALUE!</v>
      </c>
      <c r="T24" s="99" t="e">
        <f t="shared" si="12"/>
        <v>#VALUE!</v>
      </c>
      <c r="U24" s="99" t="e">
        <f t="shared" si="13"/>
        <v>#VALUE!</v>
      </c>
      <c r="V24" s="121" t="s">
        <v>388</v>
      </c>
      <c r="W24" s="385"/>
      <c r="X24" s="25" t="e">
        <f t="shared" ca="1" si="9"/>
        <v>#N/A</v>
      </c>
      <c r="Y24" s="55"/>
      <c r="Z24" s="56"/>
      <c r="AA24" s="56"/>
      <c r="AB24" s="57"/>
      <c r="AH24" s="114"/>
      <c r="AI24" s="114"/>
      <c r="AJ24" s="114"/>
      <c r="AK24" s="115"/>
    </row>
    <row r="25" spans="1:37" ht="15">
      <c r="A25">
        <v>18163</v>
      </c>
      <c r="B25" s="148">
        <v>41639</v>
      </c>
      <c r="C25" t="s">
        <v>361</v>
      </c>
      <c r="D25" t="s">
        <v>316</v>
      </c>
      <c r="E25" t="s">
        <v>362</v>
      </c>
      <c r="F25">
        <v>21446</v>
      </c>
      <c r="G25" t="s">
        <v>361</v>
      </c>
      <c r="H25">
        <v>81.410003662109375</v>
      </c>
      <c r="I25">
        <v>-3.3364966511726379E-2</v>
      </c>
      <c r="J25">
        <v>2.6139880000000001E-2</v>
      </c>
      <c r="K25">
        <v>2.524011E-2</v>
      </c>
      <c r="L25">
        <v>2.356283E-2</v>
      </c>
      <c r="M25" s="23">
        <f t="shared" si="4"/>
        <v>41639</v>
      </c>
      <c r="N25" s="99" t="e">
        <f t="shared" si="5"/>
        <v>#VALUE!</v>
      </c>
      <c r="O25" s="99" t="e">
        <f t="shared" si="6"/>
        <v>#VALUE!</v>
      </c>
      <c r="P25" s="99" t="e">
        <f t="shared" si="7"/>
        <v>#VALUE!</v>
      </c>
      <c r="Q25" s="99" t="e">
        <f t="shared" si="8"/>
        <v>#VALUE!</v>
      </c>
      <c r="R25" s="99" t="e">
        <f t="shared" si="10"/>
        <v>#VALUE!</v>
      </c>
      <c r="S25" s="99" t="e">
        <f t="shared" si="11"/>
        <v>#VALUE!</v>
      </c>
      <c r="T25" s="99" t="e">
        <f t="shared" si="12"/>
        <v>#VALUE!</v>
      </c>
      <c r="U25" s="99" t="e">
        <f t="shared" si="13"/>
        <v>#VALUE!</v>
      </c>
      <c r="W25" s="22" t="s">
        <v>22</v>
      </c>
      <c r="AH25" s="114"/>
      <c r="AI25" s="114"/>
      <c r="AJ25" s="114"/>
      <c r="AK25" s="115"/>
    </row>
    <row r="26" spans="1:37" ht="15">
      <c r="A26">
        <v>18163</v>
      </c>
      <c r="B26" s="148">
        <v>41670</v>
      </c>
      <c r="C26" t="s">
        <v>361</v>
      </c>
      <c r="D26" t="s">
        <v>316</v>
      </c>
      <c r="E26" t="s">
        <v>362</v>
      </c>
      <c r="F26">
        <v>21446</v>
      </c>
      <c r="G26" t="s">
        <v>361</v>
      </c>
      <c r="H26">
        <v>76.620002746582031</v>
      </c>
      <c r="I26">
        <v>-5.144946277141571E-2</v>
      </c>
      <c r="J26">
        <v>-3.0019710000000002E-2</v>
      </c>
      <c r="K26">
        <v>-1.2818249999999999E-3</v>
      </c>
      <c r="L26">
        <v>-3.5582900000000001E-2</v>
      </c>
      <c r="M26" s="23">
        <f t="shared" si="4"/>
        <v>41670</v>
      </c>
      <c r="N26" s="99" t="e">
        <f t="shared" si="5"/>
        <v>#VALUE!</v>
      </c>
      <c r="O26" s="99" t="e">
        <f t="shared" si="6"/>
        <v>#VALUE!</v>
      </c>
      <c r="P26" s="99" t="e">
        <f t="shared" si="7"/>
        <v>#VALUE!</v>
      </c>
      <c r="Q26" s="99" t="e">
        <f t="shared" si="8"/>
        <v>#VALUE!</v>
      </c>
      <c r="R26" s="99" t="e">
        <f t="shared" si="10"/>
        <v>#VALUE!</v>
      </c>
      <c r="S26" s="99" t="e">
        <f t="shared" si="11"/>
        <v>#VALUE!</v>
      </c>
      <c r="T26" s="99" t="e">
        <f t="shared" si="12"/>
        <v>#VALUE!</v>
      </c>
      <c r="U26" s="99" t="e">
        <f t="shared" si="13"/>
        <v>#VALUE!</v>
      </c>
      <c r="W26" s="312" t="s">
        <v>22</v>
      </c>
      <c r="AH26" s="114"/>
      <c r="AI26" s="114"/>
      <c r="AJ26" s="114"/>
      <c r="AK26" s="115"/>
    </row>
    <row r="27" spans="1:37" ht="15">
      <c r="A27">
        <v>18163</v>
      </c>
      <c r="B27" s="148">
        <v>41698</v>
      </c>
      <c r="C27" t="s">
        <v>361</v>
      </c>
      <c r="D27" t="s">
        <v>316</v>
      </c>
      <c r="E27" t="s">
        <v>362</v>
      </c>
      <c r="F27">
        <v>21446</v>
      </c>
      <c r="G27" t="s">
        <v>361</v>
      </c>
      <c r="H27">
        <v>78.660003662109375</v>
      </c>
      <c r="I27">
        <v>2.6624912396073341E-2</v>
      </c>
      <c r="J27">
        <v>4.6198320000000001E-2</v>
      </c>
      <c r="K27">
        <v>4.4257160000000004E-2</v>
      </c>
      <c r="L27">
        <v>4.3117040000000002E-2</v>
      </c>
      <c r="M27" s="23">
        <f t="shared" si="4"/>
        <v>41698</v>
      </c>
      <c r="N27" s="99" t="e">
        <f t="shared" si="5"/>
        <v>#VALUE!</v>
      </c>
      <c r="O27" s="99" t="e">
        <f t="shared" si="6"/>
        <v>#VALUE!</v>
      </c>
      <c r="P27" s="99" t="e">
        <f t="shared" si="7"/>
        <v>#VALUE!</v>
      </c>
      <c r="Q27" s="99" t="e">
        <f t="shared" si="8"/>
        <v>#VALUE!</v>
      </c>
      <c r="R27" s="99" t="e">
        <f t="shared" si="10"/>
        <v>#VALUE!</v>
      </c>
      <c r="S27" s="99" t="e">
        <f t="shared" si="11"/>
        <v>#VALUE!</v>
      </c>
      <c r="T27" s="99" t="e">
        <f t="shared" si="12"/>
        <v>#VALUE!</v>
      </c>
      <c r="U27" s="99" t="e">
        <f t="shared" si="13"/>
        <v>#VALUE!</v>
      </c>
      <c r="AH27" s="114"/>
      <c r="AI27" s="114"/>
      <c r="AJ27" s="114"/>
      <c r="AK27" s="115"/>
    </row>
    <row r="28" spans="1:37" ht="15">
      <c r="A28">
        <v>18163</v>
      </c>
      <c r="B28" s="148">
        <v>41729</v>
      </c>
      <c r="C28" t="s">
        <v>361</v>
      </c>
      <c r="D28" t="s">
        <v>316</v>
      </c>
      <c r="E28" t="s">
        <v>362</v>
      </c>
      <c r="F28">
        <v>21446</v>
      </c>
      <c r="G28" t="s">
        <v>361</v>
      </c>
      <c r="H28">
        <v>80.599998474121094</v>
      </c>
      <c r="I28">
        <v>2.4663040414452553E-2</v>
      </c>
      <c r="J28">
        <v>4.5402910000000001E-3</v>
      </c>
      <c r="K28">
        <v>1.028132E-3</v>
      </c>
      <c r="L28">
        <v>6.9321580000000008E-3</v>
      </c>
      <c r="M28" s="23">
        <f t="shared" si="4"/>
        <v>41729</v>
      </c>
      <c r="N28" s="99" t="e">
        <f t="shared" si="5"/>
        <v>#VALUE!</v>
      </c>
      <c r="O28" s="99" t="e">
        <f t="shared" si="6"/>
        <v>#VALUE!</v>
      </c>
      <c r="P28" s="99" t="e">
        <f t="shared" si="7"/>
        <v>#VALUE!</v>
      </c>
      <c r="Q28" s="99" t="e">
        <f t="shared" si="8"/>
        <v>#VALUE!</v>
      </c>
      <c r="R28" s="99" t="e">
        <f t="shared" si="10"/>
        <v>#VALUE!</v>
      </c>
      <c r="S28" s="99" t="e">
        <f t="shared" si="11"/>
        <v>#VALUE!</v>
      </c>
      <c r="T28" s="99" t="e">
        <f t="shared" si="12"/>
        <v>#VALUE!</v>
      </c>
      <c r="U28" s="99" t="e">
        <f t="shared" si="13"/>
        <v>#VALUE!</v>
      </c>
      <c r="AH28" s="114"/>
      <c r="AI28" s="114"/>
      <c r="AJ28" s="114"/>
      <c r="AK28" s="115"/>
    </row>
    <row r="29" spans="1:37" ht="15">
      <c r="A29">
        <v>18163</v>
      </c>
      <c r="B29" s="148">
        <v>41759</v>
      </c>
      <c r="C29" t="s">
        <v>361</v>
      </c>
      <c r="D29" t="s">
        <v>316</v>
      </c>
      <c r="E29" t="s">
        <v>362</v>
      </c>
      <c r="F29">
        <v>21446</v>
      </c>
      <c r="G29" t="s">
        <v>361</v>
      </c>
      <c r="H29">
        <v>82.550003051757813</v>
      </c>
      <c r="I29">
        <v>3.2178718596696854E-2</v>
      </c>
      <c r="J29">
        <v>1.5732080000000002E-3</v>
      </c>
      <c r="K29">
        <v>-2.231901E-2</v>
      </c>
      <c r="L29">
        <v>6.2007970000000001E-3</v>
      </c>
      <c r="M29" s="23">
        <f t="shared" si="4"/>
        <v>41759</v>
      </c>
      <c r="N29" s="99" t="e">
        <f t="shared" si="5"/>
        <v>#VALUE!</v>
      </c>
      <c r="O29" s="99" t="e">
        <f t="shared" si="6"/>
        <v>#VALUE!</v>
      </c>
      <c r="P29" s="99" t="e">
        <f t="shared" si="7"/>
        <v>#VALUE!</v>
      </c>
      <c r="Q29" s="99" t="e">
        <f t="shared" si="8"/>
        <v>#VALUE!</v>
      </c>
      <c r="R29" s="99" t="e">
        <f t="shared" si="10"/>
        <v>#VALUE!</v>
      </c>
      <c r="S29" s="99" t="e">
        <f t="shared" si="11"/>
        <v>#VALUE!</v>
      </c>
      <c r="T29" s="99" t="e">
        <f t="shared" si="12"/>
        <v>#VALUE!</v>
      </c>
      <c r="U29" s="99" t="e">
        <f t="shared" si="13"/>
        <v>#VALUE!</v>
      </c>
      <c r="AH29" s="114"/>
      <c r="AI29" s="114"/>
      <c r="AJ29" s="114"/>
      <c r="AK29" s="115"/>
    </row>
    <row r="30" spans="1:37" ht="15">
      <c r="A30">
        <v>18163</v>
      </c>
      <c r="B30" s="148">
        <v>41789</v>
      </c>
      <c r="C30" t="s">
        <v>361</v>
      </c>
      <c r="D30" t="s">
        <v>316</v>
      </c>
      <c r="E30" t="s">
        <v>362</v>
      </c>
      <c r="F30">
        <v>21446</v>
      </c>
      <c r="G30" t="s">
        <v>361</v>
      </c>
      <c r="H30">
        <v>80.790000915527344</v>
      </c>
      <c r="I30">
        <v>-2.1320436149835587E-2</v>
      </c>
      <c r="J30">
        <v>2.0254020000000001E-2</v>
      </c>
      <c r="K30">
        <v>6.6465030000000007E-3</v>
      </c>
      <c r="L30">
        <v>2.1030280000000002E-2</v>
      </c>
      <c r="M30" s="23">
        <f t="shared" si="4"/>
        <v>41789</v>
      </c>
      <c r="N30" s="99" t="e">
        <f t="shared" si="5"/>
        <v>#VALUE!</v>
      </c>
      <c r="O30" s="99" t="e">
        <f t="shared" si="6"/>
        <v>#VALUE!</v>
      </c>
      <c r="P30" s="99" t="e">
        <f t="shared" si="7"/>
        <v>#VALUE!</v>
      </c>
      <c r="Q30" s="99" t="e">
        <f t="shared" si="8"/>
        <v>#VALUE!</v>
      </c>
      <c r="R30" s="99" t="e">
        <f t="shared" si="10"/>
        <v>#VALUE!</v>
      </c>
      <c r="S30" s="99" t="e">
        <f t="shared" si="11"/>
        <v>#VALUE!</v>
      </c>
      <c r="T30" s="99" t="e">
        <f t="shared" si="12"/>
        <v>#VALUE!</v>
      </c>
      <c r="U30" s="99" t="e">
        <f t="shared" si="13"/>
        <v>#VALUE!</v>
      </c>
      <c r="AH30" s="114"/>
      <c r="AI30" s="114"/>
      <c r="AJ30" s="114"/>
      <c r="AK30" s="115"/>
    </row>
    <row r="31" spans="1:37" ht="15">
      <c r="A31">
        <v>18163</v>
      </c>
      <c r="B31" s="148">
        <v>41820</v>
      </c>
      <c r="C31" t="s">
        <v>361</v>
      </c>
      <c r="D31" t="s">
        <v>316</v>
      </c>
      <c r="E31" t="s">
        <v>362</v>
      </c>
      <c r="F31">
        <v>21446</v>
      </c>
      <c r="G31" t="s">
        <v>361</v>
      </c>
      <c r="H31">
        <v>78.589996337890625</v>
      </c>
      <c r="I31">
        <v>-2.723114937543869E-2</v>
      </c>
      <c r="J31">
        <v>2.797293E-2</v>
      </c>
      <c r="K31">
        <v>3.950087E-2</v>
      </c>
      <c r="L31">
        <v>1.9058310000000002E-2</v>
      </c>
      <c r="M31" s="23">
        <f t="shared" si="4"/>
        <v>41820</v>
      </c>
      <c r="N31" s="99" t="e">
        <f t="shared" si="5"/>
        <v>#VALUE!</v>
      </c>
      <c r="O31" s="99" t="e">
        <f t="shared" si="6"/>
        <v>#VALUE!</v>
      </c>
      <c r="P31" s="99" t="e">
        <f t="shared" si="7"/>
        <v>#VALUE!</v>
      </c>
      <c r="Q31" s="99" t="e">
        <f t="shared" si="8"/>
        <v>#VALUE!</v>
      </c>
      <c r="R31" s="99" t="e">
        <f t="shared" si="10"/>
        <v>#VALUE!</v>
      </c>
      <c r="S31" s="99" t="e">
        <f t="shared" si="11"/>
        <v>#VALUE!</v>
      </c>
      <c r="T31" s="99" t="e">
        <f t="shared" si="12"/>
        <v>#VALUE!</v>
      </c>
      <c r="U31" s="99" t="e">
        <f t="shared" si="13"/>
        <v>#VALUE!</v>
      </c>
      <c r="AH31" s="114"/>
      <c r="AI31" s="114"/>
      <c r="AJ31" s="114"/>
      <c r="AK31" s="115"/>
    </row>
    <row r="32" spans="1:37" ht="15">
      <c r="A32">
        <v>18163</v>
      </c>
      <c r="B32" s="148">
        <v>41851</v>
      </c>
      <c r="C32" t="s">
        <v>361</v>
      </c>
      <c r="D32" t="s">
        <v>316</v>
      </c>
      <c r="E32" t="s">
        <v>362</v>
      </c>
      <c r="F32">
        <v>21446</v>
      </c>
      <c r="G32" t="s">
        <v>361</v>
      </c>
      <c r="H32">
        <v>77.319999694824219</v>
      </c>
      <c r="I32">
        <v>-7.9704374074935913E-3</v>
      </c>
      <c r="J32">
        <v>-2.0554929999999999E-2</v>
      </c>
      <c r="K32">
        <v>-3.5223049999999999E-2</v>
      </c>
      <c r="L32">
        <v>-1.507986E-2</v>
      </c>
      <c r="M32" s="23">
        <f t="shared" si="4"/>
        <v>41851</v>
      </c>
      <c r="N32" s="99" t="e">
        <f t="shared" si="5"/>
        <v>#VALUE!</v>
      </c>
      <c r="O32" s="99" t="e">
        <f t="shared" si="6"/>
        <v>#VALUE!</v>
      </c>
      <c r="P32" s="99" t="e">
        <f t="shared" si="7"/>
        <v>#VALUE!</v>
      </c>
      <c r="Q32" s="99" t="e">
        <f t="shared" si="8"/>
        <v>#VALUE!</v>
      </c>
      <c r="R32" s="99" t="e">
        <f t="shared" si="10"/>
        <v>#VALUE!</v>
      </c>
      <c r="S32" s="99" t="e">
        <f t="shared" si="11"/>
        <v>#VALUE!</v>
      </c>
      <c r="T32" s="99" t="e">
        <f t="shared" si="12"/>
        <v>#VALUE!</v>
      </c>
      <c r="U32" s="99" t="e">
        <f t="shared" si="13"/>
        <v>#VALUE!</v>
      </c>
      <c r="AH32" s="114"/>
      <c r="AI32" s="114"/>
      <c r="AJ32" s="114"/>
      <c r="AK32" s="115"/>
    </row>
    <row r="33" spans="1:37" ht="15">
      <c r="A33">
        <v>18163</v>
      </c>
      <c r="B33" s="148">
        <v>41880</v>
      </c>
      <c r="C33" t="s">
        <v>361</v>
      </c>
      <c r="D33" t="s">
        <v>316</v>
      </c>
      <c r="E33" t="s">
        <v>362</v>
      </c>
      <c r="F33">
        <v>21446</v>
      </c>
      <c r="G33" t="s">
        <v>361</v>
      </c>
      <c r="H33">
        <v>83.110000610351563</v>
      </c>
      <c r="I33">
        <v>7.4883610010147095E-2</v>
      </c>
      <c r="J33">
        <v>4.0205390000000001E-2</v>
      </c>
      <c r="K33">
        <v>3.3697160000000004E-2</v>
      </c>
      <c r="L33">
        <v>3.7655319999999999E-2</v>
      </c>
      <c r="M33" s="23">
        <f t="shared" si="4"/>
        <v>41880</v>
      </c>
      <c r="N33" s="99" t="e">
        <f t="shared" si="5"/>
        <v>#VALUE!</v>
      </c>
      <c r="O33" s="99" t="e">
        <f t="shared" si="6"/>
        <v>#VALUE!</v>
      </c>
      <c r="P33" s="99" t="e">
        <f t="shared" si="7"/>
        <v>#VALUE!</v>
      </c>
      <c r="Q33" s="99" t="e">
        <f t="shared" si="8"/>
        <v>#VALUE!</v>
      </c>
      <c r="R33" s="99" t="e">
        <f t="shared" si="10"/>
        <v>#VALUE!</v>
      </c>
      <c r="S33" s="99" t="e">
        <f t="shared" si="11"/>
        <v>#VALUE!</v>
      </c>
      <c r="T33" s="99" t="e">
        <f t="shared" si="12"/>
        <v>#VALUE!</v>
      </c>
      <c r="U33" s="99" t="e">
        <f t="shared" si="13"/>
        <v>#VALUE!</v>
      </c>
      <c r="AH33" s="114"/>
      <c r="AI33" s="114"/>
      <c r="AJ33" s="114"/>
      <c r="AK33" s="115"/>
    </row>
    <row r="34" spans="1:37" ht="15">
      <c r="A34">
        <v>18163</v>
      </c>
      <c r="B34" s="148">
        <v>41912</v>
      </c>
      <c r="C34" t="s">
        <v>361</v>
      </c>
      <c r="D34" t="s">
        <v>316</v>
      </c>
      <c r="E34" t="s">
        <v>362</v>
      </c>
      <c r="F34">
        <v>21446</v>
      </c>
      <c r="G34" t="s">
        <v>361</v>
      </c>
      <c r="H34">
        <v>83.739997863769531</v>
      </c>
      <c r="I34">
        <v>7.5802821666002274E-3</v>
      </c>
      <c r="J34">
        <v>-2.5195749999999999E-2</v>
      </c>
      <c r="K34">
        <v>-4.4988140000000003E-2</v>
      </c>
      <c r="L34">
        <v>-1.5513860000000001E-2</v>
      </c>
      <c r="M34" s="23">
        <f t="shared" si="4"/>
        <v>41912</v>
      </c>
      <c r="N34" s="99" t="e">
        <f t="shared" si="5"/>
        <v>#VALUE!</v>
      </c>
      <c r="O34" s="99" t="e">
        <f t="shared" si="6"/>
        <v>#VALUE!</v>
      </c>
      <c r="P34" s="99" t="e">
        <f t="shared" si="7"/>
        <v>#VALUE!</v>
      </c>
      <c r="Q34" s="99" t="e">
        <f t="shared" si="8"/>
        <v>#VALUE!</v>
      </c>
      <c r="R34" s="99" t="e">
        <f t="shared" si="10"/>
        <v>#VALUE!</v>
      </c>
      <c r="S34" s="99" t="e">
        <f t="shared" si="11"/>
        <v>#VALUE!</v>
      </c>
      <c r="T34" s="99" t="e">
        <f t="shared" si="12"/>
        <v>#VALUE!</v>
      </c>
      <c r="U34" s="99" t="e">
        <f t="shared" si="13"/>
        <v>#VALUE!</v>
      </c>
      <c r="AH34" s="114"/>
      <c r="AI34" s="114"/>
      <c r="AJ34" s="114"/>
      <c r="AK34" s="115"/>
    </row>
    <row r="35" spans="1:37" ht="15">
      <c r="A35">
        <v>18163</v>
      </c>
      <c r="B35" s="148">
        <v>41943</v>
      </c>
      <c r="C35" t="s">
        <v>361</v>
      </c>
      <c r="D35" t="s">
        <v>316</v>
      </c>
      <c r="E35" t="s">
        <v>362</v>
      </c>
      <c r="F35">
        <v>21446</v>
      </c>
      <c r="G35" t="s">
        <v>361</v>
      </c>
      <c r="H35">
        <v>87.269996643066406</v>
      </c>
      <c r="I35">
        <v>4.9839965999126434E-2</v>
      </c>
      <c r="J35">
        <v>2.1163919999999999E-2</v>
      </c>
      <c r="K35">
        <v>1.4199380000000001E-2</v>
      </c>
      <c r="L35">
        <v>2.320146E-2</v>
      </c>
      <c r="M35" s="23">
        <f t="shared" si="4"/>
        <v>41943</v>
      </c>
      <c r="N35" s="99" t="e">
        <f t="shared" si="5"/>
        <v>#VALUE!</v>
      </c>
      <c r="O35" s="99" t="e">
        <f t="shared" si="6"/>
        <v>#VALUE!</v>
      </c>
      <c r="P35" s="99" t="e">
        <f t="shared" si="7"/>
        <v>#VALUE!</v>
      </c>
      <c r="Q35" s="99" t="e">
        <f t="shared" si="8"/>
        <v>#VALUE!</v>
      </c>
      <c r="R35" s="99" t="e">
        <f t="shared" si="10"/>
        <v>#VALUE!</v>
      </c>
      <c r="S35" s="99" t="e">
        <f t="shared" si="11"/>
        <v>#VALUE!</v>
      </c>
      <c r="T35" s="99" t="e">
        <f t="shared" si="12"/>
        <v>#VALUE!</v>
      </c>
      <c r="U35" s="99" t="e">
        <f t="shared" si="13"/>
        <v>#VALUE!</v>
      </c>
      <c r="AH35" s="114"/>
      <c r="AI35" s="114"/>
      <c r="AJ35" s="114"/>
      <c r="AK35" s="115"/>
    </row>
    <row r="36" spans="1:37" ht="15">
      <c r="A36">
        <v>18163</v>
      </c>
      <c r="B36" s="148">
        <v>41971</v>
      </c>
      <c r="C36" t="s">
        <v>361</v>
      </c>
      <c r="D36" t="s">
        <v>316</v>
      </c>
      <c r="E36" t="s">
        <v>362</v>
      </c>
      <c r="F36">
        <v>21446</v>
      </c>
      <c r="G36" t="s">
        <v>361</v>
      </c>
      <c r="H36">
        <v>90.430000305175781</v>
      </c>
      <c r="I36">
        <v>3.6209508776664734E-2</v>
      </c>
      <c r="J36">
        <v>2.1104009999999999E-2</v>
      </c>
      <c r="K36">
        <v>-2.4583440000000003E-3</v>
      </c>
      <c r="L36">
        <v>2.4533579999999999E-2</v>
      </c>
      <c r="M36" s="23">
        <f t="shared" si="4"/>
        <v>41971</v>
      </c>
      <c r="N36" s="99" t="e">
        <f t="shared" si="5"/>
        <v>#VALUE!</v>
      </c>
      <c r="O36" s="99" t="e">
        <f t="shared" si="6"/>
        <v>#VALUE!</v>
      </c>
      <c r="P36" s="99" t="e">
        <f t="shared" si="7"/>
        <v>#VALUE!</v>
      </c>
      <c r="Q36" s="99" t="e">
        <f t="shared" si="8"/>
        <v>#VALUE!</v>
      </c>
      <c r="R36" s="99" t="e">
        <f t="shared" si="10"/>
        <v>#VALUE!</v>
      </c>
      <c r="S36" s="99" t="e">
        <f t="shared" si="11"/>
        <v>#VALUE!</v>
      </c>
      <c r="T36" s="99" t="e">
        <f t="shared" si="12"/>
        <v>#VALUE!</v>
      </c>
      <c r="U36" s="99" t="e">
        <f t="shared" si="13"/>
        <v>#VALUE!</v>
      </c>
      <c r="AH36" s="114"/>
      <c r="AI36" s="114"/>
      <c r="AJ36" s="114"/>
      <c r="AK36" s="115"/>
    </row>
    <row r="37" spans="1:37" ht="15">
      <c r="A37">
        <v>18163</v>
      </c>
      <c r="B37" s="148">
        <v>42004</v>
      </c>
      <c r="C37" t="s">
        <v>361</v>
      </c>
      <c r="D37" t="s">
        <v>316</v>
      </c>
      <c r="E37" t="s">
        <v>362</v>
      </c>
      <c r="F37">
        <v>21446</v>
      </c>
      <c r="G37" t="s">
        <v>361</v>
      </c>
      <c r="H37">
        <v>91.089996337890625</v>
      </c>
      <c r="I37">
        <v>7.2984187863767147E-3</v>
      </c>
      <c r="J37">
        <v>-3.659041E-3</v>
      </c>
      <c r="K37">
        <v>-1.8898750000000001E-4</v>
      </c>
      <c r="L37">
        <v>-4.1885120000000001E-3</v>
      </c>
      <c r="M37" s="23">
        <f t="shared" si="4"/>
        <v>42004</v>
      </c>
      <c r="N37" s="99" t="e">
        <f t="shared" si="5"/>
        <v>#VALUE!</v>
      </c>
      <c r="O37" s="99" t="e">
        <f t="shared" si="6"/>
        <v>#VALUE!</v>
      </c>
      <c r="P37" s="99" t="e">
        <f t="shared" si="7"/>
        <v>#VALUE!</v>
      </c>
      <c r="Q37" s="99" t="e">
        <f t="shared" si="8"/>
        <v>#VALUE!</v>
      </c>
      <c r="R37" s="99" t="e">
        <f t="shared" si="10"/>
        <v>#VALUE!</v>
      </c>
      <c r="S37" s="99" t="e">
        <f t="shared" si="11"/>
        <v>#VALUE!</v>
      </c>
      <c r="T37" s="99" t="e">
        <f t="shared" si="12"/>
        <v>#VALUE!</v>
      </c>
      <c r="U37" s="99" t="e">
        <f t="shared" si="13"/>
        <v>#VALUE!</v>
      </c>
      <c r="AH37" s="114"/>
      <c r="AI37" s="114"/>
      <c r="AJ37" s="114"/>
      <c r="AK37" s="115"/>
    </row>
    <row r="38" spans="1:37" ht="15">
      <c r="A38">
        <v>18163</v>
      </c>
      <c r="B38" s="148">
        <v>42034</v>
      </c>
      <c r="C38" t="s">
        <v>361</v>
      </c>
      <c r="D38" t="s">
        <v>316</v>
      </c>
      <c r="E38" t="s">
        <v>362</v>
      </c>
      <c r="F38">
        <v>21446</v>
      </c>
      <c r="G38" t="s">
        <v>361</v>
      </c>
      <c r="H38">
        <v>84.290000915527344</v>
      </c>
      <c r="I38">
        <v>-6.7585855722427368E-2</v>
      </c>
      <c r="J38">
        <v>-2.7163099999999999E-2</v>
      </c>
      <c r="K38">
        <v>-1.9072809999999999E-2</v>
      </c>
      <c r="L38">
        <v>-3.1040850000000002E-2</v>
      </c>
      <c r="M38" s="23">
        <f t="shared" si="4"/>
        <v>42034</v>
      </c>
      <c r="N38" s="99" t="e">
        <f t="shared" si="5"/>
        <v>#VALUE!</v>
      </c>
      <c r="O38" s="99" t="e">
        <f t="shared" si="6"/>
        <v>#VALUE!</v>
      </c>
      <c r="P38" s="99" t="e">
        <f t="shared" si="7"/>
        <v>#VALUE!</v>
      </c>
      <c r="Q38" s="99" t="e">
        <f t="shared" si="8"/>
        <v>#VALUE!</v>
      </c>
      <c r="R38" s="99" t="e">
        <f t="shared" si="10"/>
        <v>#VALUE!</v>
      </c>
      <c r="S38" s="99" t="e">
        <f t="shared" si="11"/>
        <v>#VALUE!</v>
      </c>
      <c r="T38" s="99" t="e">
        <f t="shared" si="12"/>
        <v>#VALUE!</v>
      </c>
      <c r="U38" s="99" t="e">
        <f t="shared" si="13"/>
        <v>#VALUE!</v>
      </c>
      <c r="AH38" s="114"/>
      <c r="AI38" s="114"/>
      <c r="AJ38" s="114"/>
      <c r="AK38" s="115"/>
    </row>
    <row r="39" spans="1:37" ht="15">
      <c r="A39">
        <v>18163</v>
      </c>
      <c r="B39" s="148">
        <v>42062</v>
      </c>
      <c r="C39" t="s">
        <v>361</v>
      </c>
      <c r="D39" t="s">
        <v>316</v>
      </c>
      <c r="E39" t="s">
        <v>362</v>
      </c>
      <c r="F39">
        <v>21446</v>
      </c>
      <c r="G39" t="s">
        <v>361</v>
      </c>
      <c r="H39">
        <v>85.129997253417969</v>
      </c>
      <c r="I39">
        <v>9.9655510857701302E-3</v>
      </c>
      <c r="J39">
        <v>5.5915320000000004E-2</v>
      </c>
      <c r="K39">
        <v>5.4120069999999999E-2</v>
      </c>
      <c r="L39">
        <v>5.4892509999999999E-2</v>
      </c>
      <c r="M39" s="23">
        <f t="shared" si="4"/>
        <v>42062</v>
      </c>
      <c r="N39" s="99" t="e">
        <f t="shared" si="5"/>
        <v>#VALUE!</v>
      </c>
      <c r="O39" s="99" t="e">
        <f t="shared" si="6"/>
        <v>#VALUE!</v>
      </c>
      <c r="P39" s="99" t="e">
        <f t="shared" si="7"/>
        <v>#VALUE!</v>
      </c>
      <c r="Q39" s="99" t="e">
        <f t="shared" si="8"/>
        <v>#VALUE!</v>
      </c>
      <c r="R39" s="99" t="e">
        <f t="shared" si="10"/>
        <v>#VALUE!</v>
      </c>
      <c r="S39" s="99" t="e">
        <f t="shared" si="11"/>
        <v>#VALUE!</v>
      </c>
      <c r="T39" s="99" t="e">
        <f t="shared" si="12"/>
        <v>#VALUE!</v>
      </c>
      <c r="U39" s="99" t="e">
        <f t="shared" si="13"/>
        <v>#VALUE!</v>
      </c>
      <c r="AH39" s="114"/>
      <c r="AI39" s="114"/>
      <c r="AJ39" s="114"/>
      <c r="AK39" s="115"/>
    </row>
    <row r="40" spans="1:37" ht="15">
      <c r="A40">
        <v>18163</v>
      </c>
      <c r="B40" s="148">
        <v>42094</v>
      </c>
      <c r="C40" t="s">
        <v>361</v>
      </c>
      <c r="D40" t="s">
        <v>316</v>
      </c>
      <c r="E40" t="s">
        <v>362</v>
      </c>
      <c r="F40">
        <v>21446</v>
      </c>
      <c r="G40" t="s">
        <v>361</v>
      </c>
      <c r="H40">
        <v>81.94000244140625</v>
      </c>
      <c r="I40">
        <v>-3.7472043186426163E-2</v>
      </c>
      <c r="J40">
        <v>-1.039692E-2</v>
      </c>
      <c r="K40">
        <v>-5.1117990000000002E-3</v>
      </c>
      <c r="L40">
        <v>-1.7396060000000001E-2</v>
      </c>
      <c r="M40" s="23">
        <f t="shared" si="4"/>
        <v>42094</v>
      </c>
      <c r="N40" s="99" t="e">
        <f t="shared" si="5"/>
        <v>#VALUE!</v>
      </c>
      <c r="O40" s="99" t="e">
        <f t="shared" si="6"/>
        <v>#VALUE!</v>
      </c>
      <c r="P40" s="99" t="e">
        <f t="shared" si="7"/>
        <v>#VALUE!</v>
      </c>
      <c r="Q40" s="99" t="e">
        <f t="shared" si="8"/>
        <v>#VALUE!</v>
      </c>
      <c r="R40" s="99" t="e">
        <f t="shared" si="10"/>
        <v>#VALUE!</v>
      </c>
      <c r="S40" s="99" t="e">
        <f t="shared" si="11"/>
        <v>#VALUE!</v>
      </c>
      <c r="T40" s="99" t="e">
        <f t="shared" si="12"/>
        <v>#VALUE!</v>
      </c>
      <c r="U40" s="99" t="e">
        <f t="shared" si="13"/>
        <v>#VALUE!</v>
      </c>
      <c r="AH40" s="114"/>
      <c r="AI40" s="114"/>
      <c r="AJ40" s="114"/>
      <c r="AK40" s="115"/>
    </row>
    <row r="41" spans="1:37" ht="15">
      <c r="A41">
        <v>18163</v>
      </c>
      <c r="B41" s="148">
        <v>42124</v>
      </c>
      <c r="C41" t="s">
        <v>361</v>
      </c>
      <c r="D41" t="s">
        <v>316</v>
      </c>
      <c r="E41" t="s">
        <v>362</v>
      </c>
      <c r="F41">
        <v>21446</v>
      </c>
      <c r="G41" t="s">
        <v>361</v>
      </c>
      <c r="H41">
        <v>79.510002136230469</v>
      </c>
      <c r="I41">
        <v>-2.1565783768892288E-2</v>
      </c>
      <c r="J41">
        <v>8.7660110000000006E-3</v>
      </c>
      <c r="K41">
        <v>1.512702E-2</v>
      </c>
      <c r="L41">
        <v>8.5207620000000012E-3</v>
      </c>
      <c r="M41" s="23">
        <f t="shared" si="4"/>
        <v>42124</v>
      </c>
      <c r="N41" s="99" t="e">
        <f t="shared" si="5"/>
        <v>#VALUE!</v>
      </c>
      <c r="O41" s="99" t="e">
        <f t="shared" si="6"/>
        <v>#VALUE!</v>
      </c>
      <c r="P41" s="99" t="e">
        <f t="shared" si="7"/>
        <v>#VALUE!</v>
      </c>
      <c r="Q41" s="99" t="e">
        <f t="shared" si="8"/>
        <v>#VALUE!</v>
      </c>
      <c r="R41" s="99" t="e">
        <f t="shared" si="10"/>
        <v>#VALUE!</v>
      </c>
      <c r="S41" s="99" t="e">
        <f t="shared" si="11"/>
        <v>#VALUE!</v>
      </c>
      <c r="T41" s="99" t="e">
        <f t="shared" si="12"/>
        <v>#VALUE!</v>
      </c>
      <c r="U41" s="99" t="e">
        <f t="shared" si="13"/>
        <v>#VALUE!</v>
      </c>
      <c r="AH41" s="114"/>
      <c r="AI41" s="114"/>
      <c r="AJ41" s="114"/>
      <c r="AK41" s="115"/>
    </row>
    <row r="42" spans="1:37" ht="15">
      <c r="A42">
        <v>18163</v>
      </c>
      <c r="B42" s="148">
        <v>42153</v>
      </c>
      <c r="C42" t="s">
        <v>361</v>
      </c>
      <c r="D42" t="s">
        <v>316</v>
      </c>
      <c r="E42" t="s">
        <v>362</v>
      </c>
      <c r="F42">
        <v>21446</v>
      </c>
      <c r="G42" t="s">
        <v>361</v>
      </c>
      <c r="H42">
        <v>78.389999389648438</v>
      </c>
      <c r="I42">
        <v>-1.4086312614381313E-2</v>
      </c>
      <c r="J42">
        <v>1.0277410000000001E-2</v>
      </c>
      <c r="K42">
        <v>3.9700840000000005E-3</v>
      </c>
      <c r="L42">
        <v>1.0491439999999999E-2</v>
      </c>
      <c r="M42" s="23">
        <f t="shared" si="4"/>
        <v>42153</v>
      </c>
      <c r="N42" s="99" t="e">
        <f t="shared" si="5"/>
        <v>#VALUE!</v>
      </c>
      <c r="O42" s="99" t="e">
        <f t="shared" si="6"/>
        <v>#VALUE!</v>
      </c>
      <c r="P42" s="99" t="e">
        <f t="shared" si="7"/>
        <v>#VALUE!</v>
      </c>
      <c r="Q42" s="99" t="e">
        <f t="shared" si="8"/>
        <v>#VALUE!</v>
      </c>
      <c r="R42" s="99" t="e">
        <f t="shared" si="10"/>
        <v>#VALUE!</v>
      </c>
      <c r="S42" s="99" t="e">
        <f t="shared" si="11"/>
        <v>#VALUE!</v>
      </c>
      <c r="T42" s="99" t="e">
        <f t="shared" si="12"/>
        <v>#VALUE!</v>
      </c>
      <c r="U42" s="99" t="e">
        <f t="shared" si="13"/>
        <v>#VALUE!</v>
      </c>
      <c r="AH42" s="114"/>
      <c r="AI42" s="114"/>
      <c r="AJ42" s="114"/>
      <c r="AK42" s="115"/>
    </row>
    <row r="43" spans="1:37" ht="15">
      <c r="A43">
        <v>18163</v>
      </c>
      <c r="B43" s="148">
        <v>42185</v>
      </c>
      <c r="C43" t="s">
        <v>361</v>
      </c>
      <c r="D43" t="s">
        <v>316</v>
      </c>
      <c r="E43" t="s">
        <v>362</v>
      </c>
      <c r="F43">
        <v>21446</v>
      </c>
      <c r="G43" t="s">
        <v>361</v>
      </c>
      <c r="H43">
        <v>78.239997863769531</v>
      </c>
      <c r="I43">
        <v>-1.9135288894176483E-3</v>
      </c>
      <c r="J43">
        <v>-1.923101E-2</v>
      </c>
      <c r="K43">
        <v>-1.345881E-2</v>
      </c>
      <c r="L43">
        <v>-2.1011769999999999E-2</v>
      </c>
      <c r="M43" s="23">
        <f t="shared" si="4"/>
        <v>42185</v>
      </c>
      <c r="N43" s="99" t="e">
        <f t="shared" si="5"/>
        <v>#VALUE!</v>
      </c>
      <c r="O43" s="99" t="e">
        <f t="shared" si="6"/>
        <v>#VALUE!</v>
      </c>
      <c r="P43" s="99" t="e">
        <f t="shared" si="7"/>
        <v>#VALUE!</v>
      </c>
      <c r="Q43" s="99" t="e">
        <f t="shared" si="8"/>
        <v>#VALUE!</v>
      </c>
      <c r="R43" s="99" t="e">
        <f t="shared" si="10"/>
        <v>#VALUE!</v>
      </c>
      <c r="S43" s="99" t="e">
        <f t="shared" si="11"/>
        <v>#VALUE!</v>
      </c>
      <c r="T43" s="99" t="e">
        <f t="shared" si="12"/>
        <v>#VALUE!</v>
      </c>
      <c r="U43" s="99" t="e">
        <f t="shared" si="13"/>
        <v>#VALUE!</v>
      </c>
      <c r="AH43" s="114"/>
      <c r="AI43" s="114"/>
      <c r="AJ43" s="114"/>
      <c r="AK43" s="115"/>
    </row>
    <row r="44" spans="1:37" ht="15">
      <c r="A44">
        <v>18163</v>
      </c>
      <c r="B44" s="148">
        <v>42216</v>
      </c>
      <c r="C44" t="s">
        <v>361</v>
      </c>
      <c r="D44" t="s">
        <v>316</v>
      </c>
      <c r="E44" t="s">
        <v>362</v>
      </c>
      <c r="F44">
        <v>21446</v>
      </c>
      <c r="G44" t="s">
        <v>361</v>
      </c>
      <c r="H44">
        <v>76.699996948242188</v>
      </c>
      <c r="I44">
        <v>-1.1210390366613865E-2</v>
      </c>
      <c r="J44">
        <v>1.210751E-2</v>
      </c>
      <c r="K44">
        <v>-2.712985E-2</v>
      </c>
      <c r="L44">
        <v>1.9742039999999999E-2</v>
      </c>
      <c r="M44" s="23">
        <f t="shared" si="4"/>
        <v>42216</v>
      </c>
      <c r="N44" s="99" t="e">
        <f t="shared" si="5"/>
        <v>#VALUE!</v>
      </c>
      <c r="O44" s="99" t="e">
        <f t="shared" si="6"/>
        <v>#VALUE!</v>
      </c>
      <c r="P44" s="99" t="e">
        <f t="shared" si="7"/>
        <v>#VALUE!</v>
      </c>
      <c r="Q44" s="99" t="e">
        <f t="shared" si="8"/>
        <v>#VALUE!</v>
      </c>
      <c r="R44" s="99" t="e">
        <f t="shared" si="10"/>
        <v>#VALUE!</v>
      </c>
      <c r="S44" s="99" t="e">
        <f t="shared" si="11"/>
        <v>#VALUE!</v>
      </c>
      <c r="T44" s="99" t="e">
        <f t="shared" si="12"/>
        <v>#VALUE!</v>
      </c>
      <c r="U44" s="99" t="e">
        <f t="shared" si="13"/>
        <v>#VALUE!</v>
      </c>
      <c r="AH44" s="114"/>
      <c r="AI44" s="114"/>
      <c r="AJ44" s="114"/>
      <c r="AK44" s="115"/>
    </row>
    <row r="45" spans="1:37" ht="15">
      <c r="A45">
        <v>18163</v>
      </c>
      <c r="B45" s="148">
        <v>42247</v>
      </c>
      <c r="C45" t="s">
        <v>361</v>
      </c>
      <c r="D45" t="s">
        <v>316</v>
      </c>
      <c r="E45" t="s">
        <v>362</v>
      </c>
      <c r="F45">
        <v>21446</v>
      </c>
      <c r="G45" t="s">
        <v>361</v>
      </c>
      <c r="H45">
        <v>70.669998168945313</v>
      </c>
      <c r="I45">
        <v>-7.8617982566356659E-2</v>
      </c>
      <c r="J45">
        <v>-5.9926420000000001E-2</v>
      </c>
      <c r="K45">
        <v>-4.7295000000000004E-2</v>
      </c>
      <c r="L45">
        <v>-6.2580800000000006E-2</v>
      </c>
      <c r="M45" s="23">
        <f t="shared" si="4"/>
        <v>42247</v>
      </c>
      <c r="N45" s="99" t="e">
        <f t="shared" si="5"/>
        <v>#VALUE!</v>
      </c>
      <c r="O45" s="99" t="e">
        <f t="shared" si="6"/>
        <v>#VALUE!</v>
      </c>
      <c r="P45" s="99" t="e">
        <f t="shared" si="7"/>
        <v>#VALUE!</v>
      </c>
      <c r="Q45" s="99" t="e">
        <f t="shared" si="8"/>
        <v>#VALUE!</v>
      </c>
      <c r="R45" s="99" t="e">
        <f t="shared" si="10"/>
        <v>#VALUE!</v>
      </c>
      <c r="S45" s="99" t="e">
        <f t="shared" si="11"/>
        <v>#VALUE!</v>
      </c>
      <c r="T45" s="99" t="e">
        <f t="shared" si="12"/>
        <v>#VALUE!</v>
      </c>
      <c r="U45" s="99" t="e">
        <f t="shared" si="13"/>
        <v>#VALUE!</v>
      </c>
      <c r="AH45" s="114"/>
      <c r="AI45" s="114"/>
      <c r="AJ45" s="114"/>
      <c r="AK45" s="115"/>
    </row>
    <row r="46" spans="1:37" ht="15">
      <c r="A46">
        <v>18163</v>
      </c>
      <c r="B46" s="148">
        <v>42277</v>
      </c>
      <c r="C46" t="s">
        <v>361</v>
      </c>
      <c r="D46" t="s">
        <v>316</v>
      </c>
      <c r="E46" t="s">
        <v>362</v>
      </c>
      <c r="F46">
        <v>21446</v>
      </c>
      <c r="G46" t="s">
        <v>361</v>
      </c>
      <c r="H46">
        <v>71.94000244140625</v>
      </c>
      <c r="I46">
        <v>1.7970912158489227E-2</v>
      </c>
      <c r="J46">
        <v>-3.375591E-2</v>
      </c>
      <c r="K46">
        <v>-4.9906270000000003E-2</v>
      </c>
      <c r="L46">
        <v>-2.6442819999999999E-2</v>
      </c>
      <c r="M46" s="23">
        <f t="shared" si="4"/>
        <v>42277</v>
      </c>
      <c r="N46" s="99" t="e">
        <f t="shared" si="5"/>
        <v>#VALUE!</v>
      </c>
      <c r="O46" s="99" t="e">
        <f t="shared" si="6"/>
        <v>#VALUE!</v>
      </c>
      <c r="P46" s="99" t="e">
        <f t="shared" si="7"/>
        <v>#VALUE!</v>
      </c>
      <c r="Q46" s="99" t="e">
        <f t="shared" si="8"/>
        <v>#VALUE!</v>
      </c>
      <c r="R46" s="99" t="e">
        <f t="shared" si="10"/>
        <v>#VALUE!</v>
      </c>
      <c r="S46" s="99" t="e">
        <f t="shared" si="11"/>
        <v>#VALUE!</v>
      </c>
      <c r="T46" s="99" t="e">
        <f t="shared" si="12"/>
        <v>#VALUE!</v>
      </c>
      <c r="U46" s="99" t="e">
        <f t="shared" si="13"/>
        <v>#VALUE!</v>
      </c>
      <c r="AH46" s="114"/>
      <c r="AI46" s="114"/>
      <c r="AJ46" s="114"/>
      <c r="AK46" s="115"/>
    </row>
    <row r="47" spans="1:37" ht="15">
      <c r="A47">
        <v>18163</v>
      </c>
      <c r="B47" s="148">
        <v>42307</v>
      </c>
      <c r="C47" t="s">
        <v>361</v>
      </c>
      <c r="D47" t="s">
        <v>316</v>
      </c>
      <c r="E47" t="s">
        <v>362</v>
      </c>
      <c r="F47">
        <v>21446</v>
      </c>
      <c r="G47" t="s">
        <v>361</v>
      </c>
      <c r="H47">
        <v>76.379997253417969</v>
      </c>
      <c r="I47">
        <v>7.0932649075984955E-2</v>
      </c>
      <c r="J47">
        <v>7.3937210000000003E-2</v>
      </c>
      <c r="K47">
        <v>5.2851189999999999E-2</v>
      </c>
      <c r="L47">
        <v>8.2983080000000001E-2</v>
      </c>
      <c r="M47" s="23">
        <f t="shared" si="4"/>
        <v>42307</v>
      </c>
      <c r="N47" s="99" t="e">
        <f t="shared" si="5"/>
        <v>#VALUE!</v>
      </c>
      <c r="O47" s="99" t="e">
        <f t="shared" si="6"/>
        <v>#VALUE!</v>
      </c>
      <c r="P47" s="99" t="e">
        <f t="shared" si="7"/>
        <v>#VALUE!</v>
      </c>
      <c r="Q47" s="99" t="e">
        <f t="shared" si="8"/>
        <v>#VALUE!</v>
      </c>
      <c r="R47" s="99" t="e">
        <f t="shared" si="10"/>
        <v>#VALUE!</v>
      </c>
      <c r="S47" s="99" t="e">
        <f t="shared" si="11"/>
        <v>#VALUE!</v>
      </c>
      <c r="T47" s="99" t="e">
        <f t="shared" si="12"/>
        <v>#VALUE!</v>
      </c>
      <c r="U47" s="99" t="e">
        <f t="shared" si="13"/>
        <v>#VALUE!</v>
      </c>
      <c r="AH47" s="114"/>
      <c r="AI47" s="114"/>
      <c r="AJ47" s="114"/>
      <c r="AK47" s="115"/>
    </row>
    <row r="48" spans="1:37" ht="15">
      <c r="A48">
        <v>18163</v>
      </c>
      <c r="B48" s="148">
        <v>42338</v>
      </c>
      <c r="C48" t="s">
        <v>361</v>
      </c>
      <c r="D48" t="s">
        <v>316</v>
      </c>
      <c r="E48" t="s">
        <v>362</v>
      </c>
      <c r="F48">
        <v>21446</v>
      </c>
      <c r="G48" t="s">
        <v>361</v>
      </c>
      <c r="H48">
        <v>74.839996337890625</v>
      </c>
      <c r="I48">
        <v>-2.016235888004303E-2</v>
      </c>
      <c r="J48">
        <v>2.404462E-3</v>
      </c>
      <c r="K48">
        <v>7.3261800000000007E-3</v>
      </c>
      <c r="L48">
        <v>5.0496299999999998E-4</v>
      </c>
      <c r="M48" s="23">
        <f t="shared" si="4"/>
        <v>42338</v>
      </c>
      <c r="N48" s="99" t="e">
        <f t="shared" si="5"/>
        <v>#VALUE!</v>
      </c>
      <c r="O48" s="99" t="e">
        <f t="shared" si="6"/>
        <v>#VALUE!</v>
      </c>
      <c r="P48" s="99" t="e">
        <f t="shared" si="7"/>
        <v>#VALUE!</v>
      </c>
      <c r="Q48" s="99" t="e">
        <f t="shared" si="8"/>
        <v>#VALUE!</v>
      </c>
      <c r="R48" s="99" t="e">
        <f t="shared" si="10"/>
        <v>#VALUE!</v>
      </c>
      <c r="S48" s="99" t="e">
        <f t="shared" si="11"/>
        <v>#VALUE!</v>
      </c>
      <c r="T48" s="99" t="e">
        <f t="shared" si="12"/>
        <v>#VALUE!</v>
      </c>
      <c r="U48" s="99" t="e">
        <f t="shared" si="13"/>
        <v>#VALUE!</v>
      </c>
      <c r="AH48" s="114"/>
      <c r="AI48" s="114"/>
      <c r="AJ48" s="114"/>
      <c r="AK48" s="115"/>
    </row>
    <row r="49" spans="1:37" ht="15">
      <c r="A49">
        <v>18163</v>
      </c>
      <c r="B49" s="148">
        <v>42369</v>
      </c>
      <c r="C49" t="s">
        <v>361</v>
      </c>
      <c r="D49" t="s">
        <v>316</v>
      </c>
      <c r="E49" t="s">
        <v>362</v>
      </c>
      <c r="F49">
        <v>21446</v>
      </c>
      <c r="G49" t="s">
        <v>361</v>
      </c>
      <c r="H49">
        <v>79.410003662109375</v>
      </c>
      <c r="I49">
        <v>6.1063703149557114E-2</v>
      </c>
      <c r="J49">
        <v>-2.2209320000000001E-2</v>
      </c>
      <c r="K49">
        <v>-3.5860410000000002E-2</v>
      </c>
      <c r="L49">
        <v>-1.7530199999999999E-2</v>
      </c>
      <c r="M49" s="23">
        <f t="shared" si="4"/>
        <v>42369</v>
      </c>
      <c r="N49" s="99" t="e">
        <f t="shared" si="5"/>
        <v>#VALUE!</v>
      </c>
      <c r="O49" s="99" t="e">
        <f t="shared" si="6"/>
        <v>#VALUE!</v>
      </c>
      <c r="P49" s="99" t="e">
        <f t="shared" si="7"/>
        <v>#VALUE!</v>
      </c>
      <c r="Q49" s="99" t="e">
        <f t="shared" si="8"/>
        <v>#VALUE!</v>
      </c>
      <c r="R49" s="99" t="e">
        <f t="shared" si="10"/>
        <v>#VALUE!</v>
      </c>
      <c r="S49" s="99" t="e">
        <f t="shared" si="11"/>
        <v>#VALUE!</v>
      </c>
      <c r="T49" s="99" t="e">
        <f t="shared" si="12"/>
        <v>#VALUE!</v>
      </c>
      <c r="U49" s="99" t="e">
        <f t="shared" si="13"/>
        <v>#VALUE!</v>
      </c>
      <c r="AH49" s="114"/>
      <c r="AI49" s="114"/>
      <c r="AJ49" s="114"/>
      <c r="AK49" s="115"/>
    </row>
    <row r="50" spans="1:37" ht="15">
      <c r="A50">
        <v>18163</v>
      </c>
      <c r="B50" s="148">
        <v>42398</v>
      </c>
      <c r="C50" t="s">
        <v>361</v>
      </c>
      <c r="D50" t="s">
        <v>316</v>
      </c>
      <c r="E50" t="s">
        <v>362</v>
      </c>
      <c r="F50">
        <v>21446</v>
      </c>
      <c r="G50" t="s">
        <v>361</v>
      </c>
      <c r="H50">
        <v>81.69000244140625</v>
      </c>
      <c r="I50">
        <v>3.7059545516967773E-2</v>
      </c>
      <c r="J50">
        <v>-5.7084570000000001E-2</v>
      </c>
      <c r="K50">
        <v>-7.4934120000000007E-2</v>
      </c>
      <c r="L50">
        <v>-5.0735340000000004E-2</v>
      </c>
      <c r="M50" s="23">
        <f t="shared" si="4"/>
        <v>42398</v>
      </c>
      <c r="N50" s="99" t="e">
        <f t="shared" si="5"/>
        <v>#VALUE!</v>
      </c>
      <c r="O50" s="99" t="e">
        <f t="shared" si="6"/>
        <v>#VALUE!</v>
      </c>
      <c r="P50" s="99" t="e">
        <f t="shared" si="7"/>
        <v>#VALUE!</v>
      </c>
      <c r="Q50" s="99" t="e">
        <f t="shared" si="8"/>
        <v>#VALUE!</v>
      </c>
      <c r="R50" s="99" t="e">
        <f t="shared" si="10"/>
        <v>#VALUE!</v>
      </c>
      <c r="S50" s="99" t="e">
        <f t="shared" si="11"/>
        <v>#VALUE!</v>
      </c>
      <c r="T50" s="99" t="e">
        <f t="shared" si="12"/>
        <v>#VALUE!</v>
      </c>
      <c r="U50" s="99" t="e">
        <f t="shared" si="13"/>
        <v>#VALUE!</v>
      </c>
      <c r="AH50" s="114"/>
      <c r="AI50" s="114"/>
      <c r="AJ50" s="114"/>
      <c r="AK50" s="115"/>
    </row>
    <row r="51" spans="1:37" ht="15">
      <c r="A51">
        <v>18163</v>
      </c>
      <c r="B51" s="148">
        <v>42429</v>
      </c>
      <c r="C51" t="s">
        <v>361</v>
      </c>
      <c r="D51" t="s">
        <v>316</v>
      </c>
      <c r="E51" t="s">
        <v>362</v>
      </c>
      <c r="F51">
        <v>21446</v>
      </c>
      <c r="G51" t="s">
        <v>361</v>
      </c>
      <c r="H51">
        <v>80.290000915527344</v>
      </c>
      <c r="I51">
        <v>-1.7137978225946426E-2</v>
      </c>
      <c r="J51">
        <v>6.2028810000000001E-4</v>
      </c>
      <c r="K51">
        <v>5.5644470000000001E-3</v>
      </c>
      <c r="L51">
        <v>-4.1283550000000002E-3</v>
      </c>
      <c r="M51" s="23">
        <f t="shared" si="4"/>
        <v>42429</v>
      </c>
      <c r="N51" s="99" t="e">
        <f t="shared" si="5"/>
        <v>#VALUE!</v>
      </c>
      <c r="O51" s="99" t="e">
        <f t="shared" si="6"/>
        <v>#VALUE!</v>
      </c>
      <c r="P51" s="99" t="e">
        <f t="shared" si="7"/>
        <v>#VALUE!</v>
      </c>
      <c r="Q51" s="99" t="e">
        <f t="shared" si="8"/>
        <v>#VALUE!</v>
      </c>
      <c r="R51" s="99" t="e">
        <f t="shared" si="10"/>
        <v>#VALUE!</v>
      </c>
      <c r="S51" s="99" t="e">
        <f t="shared" si="11"/>
        <v>#VALUE!</v>
      </c>
      <c r="T51" s="99" t="e">
        <f t="shared" si="12"/>
        <v>#VALUE!</v>
      </c>
      <c r="U51" s="99" t="e">
        <f t="shared" si="13"/>
        <v>#VALUE!</v>
      </c>
      <c r="AH51" s="114"/>
      <c r="AI51" s="114"/>
      <c r="AJ51" s="114"/>
      <c r="AK51" s="115"/>
    </row>
    <row r="52" spans="1:37" ht="15">
      <c r="A52">
        <v>18163</v>
      </c>
      <c r="B52" s="148">
        <v>42460</v>
      </c>
      <c r="C52" t="s">
        <v>361</v>
      </c>
      <c r="D52" t="s">
        <v>316</v>
      </c>
      <c r="E52" t="s">
        <v>362</v>
      </c>
      <c r="F52">
        <v>21446</v>
      </c>
      <c r="G52" t="s">
        <v>361</v>
      </c>
      <c r="H52">
        <v>82.30999755859375</v>
      </c>
      <c r="I52">
        <v>2.5158757343888283E-2</v>
      </c>
      <c r="J52">
        <v>7.0491399999999996E-2</v>
      </c>
      <c r="K52">
        <v>7.8181260000000002E-2</v>
      </c>
      <c r="L52">
        <v>6.5991110000000006E-2</v>
      </c>
      <c r="M52" s="23">
        <f t="shared" si="4"/>
        <v>42460</v>
      </c>
      <c r="N52" s="99" t="e">
        <f t="shared" si="5"/>
        <v>#VALUE!</v>
      </c>
      <c r="O52" s="99" t="e">
        <f t="shared" si="6"/>
        <v>#VALUE!</v>
      </c>
      <c r="P52" s="99" t="e">
        <f t="shared" si="7"/>
        <v>#VALUE!</v>
      </c>
      <c r="Q52" s="99" t="e">
        <f t="shared" si="8"/>
        <v>#VALUE!</v>
      </c>
      <c r="R52" s="99" t="e">
        <f t="shared" si="10"/>
        <v>#VALUE!</v>
      </c>
      <c r="S52" s="99" t="e">
        <f t="shared" si="11"/>
        <v>#VALUE!</v>
      </c>
      <c r="T52" s="99" t="e">
        <f t="shared" si="12"/>
        <v>#VALUE!</v>
      </c>
      <c r="U52" s="99" t="e">
        <f t="shared" si="13"/>
        <v>#VALUE!</v>
      </c>
      <c r="AH52" s="114"/>
      <c r="AI52" s="114"/>
      <c r="AJ52" s="114"/>
      <c r="AK52" s="115"/>
    </row>
    <row r="53" spans="1:37" ht="15">
      <c r="A53">
        <v>18163</v>
      </c>
      <c r="B53" s="148">
        <v>42489</v>
      </c>
      <c r="C53" t="s">
        <v>361</v>
      </c>
      <c r="D53" t="s">
        <v>316</v>
      </c>
      <c r="E53" t="s">
        <v>362</v>
      </c>
      <c r="F53">
        <v>21446</v>
      </c>
      <c r="G53" t="s">
        <v>361</v>
      </c>
      <c r="H53">
        <v>80.120002746582031</v>
      </c>
      <c r="I53">
        <v>-1.8472783267498016E-2</v>
      </c>
      <c r="J53">
        <v>1.17175E-2</v>
      </c>
      <c r="K53">
        <v>3.9818100000000002E-2</v>
      </c>
      <c r="L53">
        <v>2.69937E-3</v>
      </c>
      <c r="M53" s="23">
        <f t="shared" si="4"/>
        <v>42489</v>
      </c>
      <c r="N53" s="99" t="e">
        <f t="shared" si="5"/>
        <v>#VALUE!</v>
      </c>
      <c r="O53" s="99" t="e">
        <f t="shared" si="6"/>
        <v>#VALUE!</v>
      </c>
      <c r="P53" s="99" t="e">
        <f t="shared" si="7"/>
        <v>#VALUE!</v>
      </c>
      <c r="Q53" s="99" t="e">
        <f t="shared" si="8"/>
        <v>#VALUE!</v>
      </c>
      <c r="R53" s="99" t="e">
        <f t="shared" si="10"/>
        <v>#VALUE!</v>
      </c>
      <c r="S53" s="99" t="e">
        <f t="shared" si="11"/>
        <v>#VALUE!</v>
      </c>
      <c r="T53" s="99" t="e">
        <f t="shared" si="12"/>
        <v>#VALUE!</v>
      </c>
      <c r="U53" s="99" t="e">
        <f t="shared" si="13"/>
        <v>#VALUE!</v>
      </c>
      <c r="AH53" s="114"/>
      <c r="AI53" s="114"/>
      <c r="AJ53" s="114"/>
      <c r="AK53" s="115"/>
    </row>
    <row r="54" spans="1:37" ht="15">
      <c r="A54">
        <v>18163</v>
      </c>
      <c r="B54" s="148">
        <v>42521</v>
      </c>
      <c r="C54" t="s">
        <v>361</v>
      </c>
      <c r="D54" t="s">
        <v>316</v>
      </c>
      <c r="E54" t="s">
        <v>362</v>
      </c>
      <c r="F54">
        <v>21446</v>
      </c>
      <c r="G54" t="s">
        <v>361</v>
      </c>
      <c r="H54">
        <v>81.040000915527344</v>
      </c>
      <c r="I54">
        <v>1.1482752859592438E-2</v>
      </c>
      <c r="J54">
        <v>1.433951E-2</v>
      </c>
      <c r="K54">
        <v>-5.8390269999999999E-4</v>
      </c>
      <c r="L54">
        <v>1.5329490000000001E-2</v>
      </c>
      <c r="M54" s="23">
        <f t="shared" si="4"/>
        <v>42521</v>
      </c>
      <c r="N54" s="99" t="e">
        <f t="shared" si="5"/>
        <v>#VALUE!</v>
      </c>
      <c r="O54" s="99" t="e">
        <f t="shared" si="6"/>
        <v>#VALUE!</v>
      </c>
      <c r="P54" s="99" t="e">
        <f t="shared" si="7"/>
        <v>#VALUE!</v>
      </c>
      <c r="Q54" s="99" t="e">
        <f t="shared" si="8"/>
        <v>#VALUE!</v>
      </c>
      <c r="R54" s="99" t="e">
        <f t="shared" si="10"/>
        <v>#VALUE!</v>
      </c>
      <c r="S54" s="99" t="e">
        <f t="shared" si="11"/>
        <v>#VALUE!</v>
      </c>
      <c r="T54" s="99" t="e">
        <f t="shared" si="12"/>
        <v>#VALUE!</v>
      </c>
      <c r="U54" s="99" t="e">
        <f t="shared" si="13"/>
        <v>#VALUE!</v>
      </c>
      <c r="AH54" s="114"/>
      <c r="AI54" s="114"/>
      <c r="AJ54" s="114"/>
      <c r="AK54" s="115"/>
    </row>
    <row r="55" spans="1:37" ht="15">
      <c r="A55">
        <v>18163</v>
      </c>
      <c r="B55" s="148">
        <v>42551</v>
      </c>
      <c r="C55" t="s">
        <v>361</v>
      </c>
      <c r="D55" t="s">
        <v>316</v>
      </c>
      <c r="E55" t="s">
        <v>362</v>
      </c>
      <c r="F55">
        <v>21446</v>
      </c>
      <c r="G55" t="s">
        <v>361</v>
      </c>
      <c r="H55">
        <v>84.669998168945313</v>
      </c>
      <c r="I55">
        <v>4.479265958070755E-2</v>
      </c>
      <c r="J55">
        <v>2.946602E-3</v>
      </c>
      <c r="K55">
        <v>5.8474120000000006E-3</v>
      </c>
      <c r="L55">
        <v>9.0607350000000003E-4</v>
      </c>
      <c r="M55" s="23">
        <f t="shared" si="4"/>
        <v>42551</v>
      </c>
      <c r="N55" s="99" t="e">
        <f t="shared" si="5"/>
        <v>#VALUE!</v>
      </c>
      <c r="O55" s="99" t="e">
        <f t="shared" si="6"/>
        <v>#VALUE!</v>
      </c>
      <c r="P55" s="99" t="e">
        <f t="shared" si="7"/>
        <v>#VALUE!</v>
      </c>
      <c r="Q55" s="99" t="e">
        <f t="shared" si="8"/>
        <v>#VALUE!</v>
      </c>
      <c r="R55" s="99" t="e">
        <f t="shared" si="10"/>
        <v>#VALUE!</v>
      </c>
      <c r="S55" s="99" t="e">
        <f t="shared" si="11"/>
        <v>#VALUE!</v>
      </c>
      <c r="T55" s="99" t="e">
        <f t="shared" si="12"/>
        <v>#VALUE!</v>
      </c>
      <c r="U55" s="99" t="e">
        <f t="shared" si="13"/>
        <v>#VALUE!</v>
      </c>
      <c r="AH55" s="114"/>
      <c r="AI55" s="114"/>
      <c r="AJ55" s="114"/>
      <c r="AK55" s="115"/>
    </row>
    <row r="56" spans="1:37" ht="15">
      <c r="A56">
        <v>18163</v>
      </c>
      <c r="B56" s="148">
        <v>42580</v>
      </c>
      <c r="C56" t="s">
        <v>361</v>
      </c>
      <c r="D56" t="s">
        <v>316</v>
      </c>
      <c r="E56" t="s">
        <v>362</v>
      </c>
      <c r="F56">
        <v>21446</v>
      </c>
      <c r="G56" t="s">
        <v>361</v>
      </c>
      <c r="H56">
        <v>85.589996337890625</v>
      </c>
      <c r="I56">
        <v>1.8772860988974571E-2</v>
      </c>
      <c r="J56">
        <v>3.8814660000000001E-2</v>
      </c>
      <c r="K56">
        <v>4.989971E-2</v>
      </c>
      <c r="L56">
        <v>3.5609809999999999E-2</v>
      </c>
      <c r="M56" s="23">
        <f t="shared" si="4"/>
        <v>42580</v>
      </c>
      <c r="N56" s="99" t="e">
        <f t="shared" si="5"/>
        <v>#VALUE!</v>
      </c>
      <c r="O56" s="99" t="e">
        <f t="shared" si="6"/>
        <v>#VALUE!</v>
      </c>
      <c r="P56" s="99" t="e">
        <f t="shared" si="7"/>
        <v>#VALUE!</v>
      </c>
      <c r="Q56" s="99" t="e">
        <f t="shared" si="8"/>
        <v>#VALUE!</v>
      </c>
      <c r="R56" s="99" t="e">
        <f t="shared" si="10"/>
        <v>#VALUE!</v>
      </c>
      <c r="S56" s="99" t="e">
        <f t="shared" si="11"/>
        <v>#VALUE!</v>
      </c>
      <c r="T56" s="99" t="e">
        <f t="shared" si="12"/>
        <v>#VALUE!</v>
      </c>
      <c r="U56" s="99" t="e">
        <f t="shared" si="13"/>
        <v>#VALUE!</v>
      </c>
      <c r="AH56" s="114"/>
      <c r="AI56" s="114"/>
      <c r="AJ56" s="114"/>
      <c r="AK56" s="115"/>
    </row>
    <row r="57" spans="1:37" ht="15">
      <c r="A57">
        <v>18163</v>
      </c>
      <c r="B57" s="148">
        <v>42613</v>
      </c>
      <c r="C57" t="s">
        <v>361</v>
      </c>
      <c r="D57" t="s">
        <v>316</v>
      </c>
      <c r="E57" t="s">
        <v>362</v>
      </c>
      <c r="F57">
        <v>21446</v>
      </c>
      <c r="G57" t="s">
        <v>361</v>
      </c>
      <c r="H57">
        <v>87.30999755859375</v>
      </c>
      <c r="I57">
        <v>2.0095821470022202E-2</v>
      </c>
      <c r="J57">
        <v>2.8002220000000002E-3</v>
      </c>
      <c r="K57">
        <v>1.28725E-2</v>
      </c>
      <c r="L57">
        <v>-1.219176E-3</v>
      </c>
      <c r="M57" s="23">
        <f t="shared" si="4"/>
        <v>42613</v>
      </c>
      <c r="N57" s="99" t="e">
        <f t="shared" si="5"/>
        <v>#VALUE!</v>
      </c>
      <c r="O57" s="99" t="e">
        <f t="shared" si="6"/>
        <v>#VALUE!</v>
      </c>
      <c r="P57" s="99" t="e">
        <f t="shared" si="7"/>
        <v>#VALUE!</v>
      </c>
      <c r="Q57" s="99" t="e">
        <f t="shared" si="8"/>
        <v>#VALUE!</v>
      </c>
      <c r="R57" s="99" t="e">
        <f t="shared" si="10"/>
        <v>#VALUE!</v>
      </c>
      <c r="S57" s="99" t="e">
        <f t="shared" si="11"/>
        <v>#VALUE!</v>
      </c>
      <c r="T57" s="99" t="e">
        <f t="shared" si="12"/>
        <v>#VALUE!</v>
      </c>
      <c r="U57" s="99" t="e">
        <f t="shared" si="13"/>
        <v>#VALUE!</v>
      </c>
      <c r="AH57" s="114"/>
      <c r="AI57" s="114"/>
      <c r="AJ57" s="114"/>
      <c r="AK57" s="115"/>
    </row>
    <row r="58" spans="1:37" ht="15">
      <c r="A58">
        <v>18163</v>
      </c>
      <c r="B58" s="148">
        <v>42643</v>
      </c>
      <c r="C58" t="s">
        <v>361</v>
      </c>
      <c r="D58" t="s">
        <v>316</v>
      </c>
      <c r="E58" t="s">
        <v>362</v>
      </c>
      <c r="F58">
        <v>21446</v>
      </c>
      <c r="G58" t="s">
        <v>361</v>
      </c>
      <c r="H58">
        <v>89.75</v>
      </c>
      <c r="I58">
        <v>2.7946427464485168E-2</v>
      </c>
      <c r="J58">
        <v>3.0134420000000003E-3</v>
      </c>
      <c r="K58">
        <v>1.5368400000000001E-2</v>
      </c>
      <c r="L58">
        <v>-1.234483E-3</v>
      </c>
      <c r="M58" s="23">
        <f t="shared" si="4"/>
        <v>42643</v>
      </c>
      <c r="N58" s="99" t="e">
        <f t="shared" si="5"/>
        <v>#VALUE!</v>
      </c>
      <c r="O58" s="99" t="e">
        <f t="shared" si="6"/>
        <v>#VALUE!</v>
      </c>
      <c r="P58" s="99" t="e">
        <f t="shared" si="7"/>
        <v>#VALUE!</v>
      </c>
      <c r="Q58" s="99" t="e">
        <f t="shared" si="8"/>
        <v>#VALUE!</v>
      </c>
      <c r="R58" s="99" t="e">
        <f t="shared" si="10"/>
        <v>#VALUE!</v>
      </c>
      <c r="S58" s="99" t="e">
        <f t="shared" si="11"/>
        <v>#VALUE!</v>
      </c>
      <c r="T58" s="99" t="e">
        <f t="shared" si="12"/>
        <v>#VALUE!</v>
      </c>
      <c r="U58" s="99" t="e">
        <f t="shared" si="13"/>
        <v>#VALUE!</v>
      </c>
      <c r="AH58" s="114"/>
      <c r="AI58" s="114"/>
      <c r="AJ58" s="114"/>
      <c r="AK58" s="115"/>
    </row>
    <row r="59" spans="1:37" ht="15">
      <c r="A59">
        <v>18163</v>
      </c>
      <c r="B59" s="148">
        <v>42674</v>
      </c>
      <c r="C59" t="s">
        <v>361</v>
      </c>
      <c r="D59" t="s">
        <v>316</v>
      </c>
      <c r="E59" t="s">
        <v>362</v>
      </c>
      <c r="F59">
        <v>21446</v>
      </c>
      <c r="G59" t="s">
        <v>361</v>
      </c>
      <c r="H59">
        <v>86.800003051757813</v>
      </c>
      <c r="I59">
        <v>-2.5409437716007233E-2</v>
      </c>
      <c r="J59">
        <v>-2.1543730000000001E-2</v>
      </c>
      <c r="K59">
        <v>-3.9930420000000001E-2</v>
      </c>
      <c r="L59">
        <v>-1.9425620000000001E-2</v>
      </c>
      <c r="M59" s="23">
        <f t="shared" si="4"/>
        <v>42674</v>
      </c>
      <c r="N59" s="99" t="e">
        <f t="shared" si="5"/>
        <v>#VALUE!</v>
      </c>
      <c r="O59" s="99" t="e">
        <f t="shared" si="6"/>
        <v>#VALUE!</v>
      </c>
      <c r="P59" s="99" t="e">
        <f t="shared" si="7"/>
        <v>#VALUE!</v>
      </c>
      <c r="Q59" s="99" t="e">
        <f t="shared" si="8"/>
        <v>#VALUE!</v>
      </c>
      <c r="R59" s="99" t="e">
        <f t="shared" si="10"/>
        <v>#VALUE!</v>
      </c>
      <c r="S59" s="99" t="e">
        <f t="shared" si="11"/>
        <v>#VALUE!</v>
      </c>
      <c r="T59" s="99" t="e">
        <f t="shared" si="12"/>
        <v>#VALUE!</v>
      </c>
      <c r="U59" s="99" t="e">
        <f t="shared" si="13"/>
        <v>#VALUE!</v>
      </c>
      <c r="AH59" s="114"/>
      <c r="AI59" s="114"/>
      <c r="AJ59" s="114"/>
      <c r="AK59" s="115"/>
    </row>
    <row r="60" spans="1:37" ht="15">
      <c r="A60">
        <v>18163</v>
      </c>
      <c r="B60" s="148">
        <v>42704</v>
      </c>
      <c r="C60" t="s">
        <v>361</v>
      </c>
      <c r="D60" t="s">
        <v>316</v>
      </c>
      <c r="E60" t="s">
        <v>362</v>
      </c>
      <c r="F60">
        <v>21446</v>
      </c>
      <c r="G60" t="s">
        <v>361</v>
      </c>
      <c r="H60">
        <v>82.459999084472656</v>
      </c>
      <c r="I60">
        <v>-5.0000045448541641E-2</v>
      </c>
      <c r="J60">
        <v>4.0487590000000004E-2</v>
      </c>
      <c r="K60">
        <v>5.0508290000000004E-2</v>
      </c>
      <c r="L60">
        <v>3.4174450000000002E-2</v>
      </c>
      <c r="M60" s="23">
        <f t="shared" si="4"/>
        <v>42704</v>
      </c>
      <c r="N60" s="99" t="e">
        <f t="shared" si="5"/>
        <v>#VALUE!</v>
      </c>
      <c r="O60" s="99" t="e">
        <f t="shared" si="6"/>
        <v>#VALUE!</v>
      </c>
      <c r="P60" s="99" t="e">
        <f t="shared" si="7"/>
        <v>#VALUE!</v>
      </c>
      <c r="Q60" s="99" t="e">
        <f t="shared" si="8"/>
        <v>#VALUE!</v>
      </c>
      <c r="R60" s="99" t="e">
        <f t="shared" si="10"/>
        <v>#VALUE!</v>
      </c>
      <c r="S60" s="99" t="e">
        <f t="shared" si="11"/>
        <v>#VALUE!</v>
      </c>
      <c r="T60" s="99" t="e">
        <f t="shared" si="12"/>
        <v>#VALUE!</v>
      </c>
      <c r="U60" s="99" t="e">
        <f t="shared" si="13"/>
        <v>#VALUE!</v>
      </c>
      <c r="AH60" s="114"/>
      <c r="AI60" s="114"/>
      <c r="AJ60" s="114"/>
      <c r="AK60" s="115"/>
    </row>
    <row r="61" spans="1:37" ht="15">
      <c r="A61">
        <v>18163</v>
      </c>
      <c r="B61" s="148">
        <v>42734</v>
      </c>
      <c r="C61" t="s">
        <v>361</v>
      </c>
      <c r="D61" t="s">
        <v>316</v>
      </c>
      <c r="E61" t="s">
        <v>362</v>
      </c>
      <c r="F61">
        <v>21446</v>
      </c>
      <c r="G61" t="s">
        <v>361</v>
      </c>
      <c r="H61">
        <v>84.080001831054688</v>
      </c>
      <c r="I61">
        <v>1.9645921885967255E-2</v>
      </c>
      <c r="J61">
        <v>1.876276E-2</v>
      </c>
      <c r="K61">
        <v>1.5896879999999999E-2</v>
      </c>
      <c r="L61">
        <v>1.8200750000000002E-2</v>
      </c>
      <c r="M61" s="23">
        <f t="shared" si="4"/>
        <v>42734</v>
      </c>
      <c r="N61" s="99" t="e">
        <f t="shared" si="5"/>
        <v>#VALUE!</v>
      </c>
      <c r="O61" s="99" t="e">
        <f t="shared" si="6"/>
        <v>#VALUE!</v>
      </c>
      <c r="P61" s="99" t="e">
        <f t="shared" si="7"/>
        <v>#VALUE!</v>
      </c>
      <c r="Q61" s="99" t="e">
        <f t="shared" si="8"/>
        <v>#VALUE!</v>
      </c>
      <c r="R61" s="99" t="e">
        <f t="shared" si="10"/>
        <v>#VALUE!</v>
      </c>
      <c r="S61" s="99" t="e">
        <f t="shared" si="11"/>
        <v>#VALUE!</v>
      </c>
      <c r="T61" s="99" t="e">
        <f t="shared" si="12"/>
        <v>#VALUE!</v>
      </c>
      <c r="U61" s="99" t="e">
        <f t="shared" si="13"/>
        <v>#VALUE!</v>
      </c>
      <c r="AH61" s="114"/>
      <c r="AI61" s="114"/>
      <c r="AJ61" s="114"/>
      <c r="AK61" s="115"/>
    </row>
    <row r="62" spans="1:37" ht="15">
      <c r="A62">
        <v>18163</v>
      </c>
      <c r="B62" s="148">
        <v>42766</v>
      </c>
      <c r="C62" t="s">
        <v>361</v>
      </c>
      <c r="D62" t="s">
        <v>316</v>
      </c>
      <c r="E62" t="s">
        <v>362</v>
      </c>
      <c r="F62">
        <v>21446</v>
      </c>
      <c r="G62" t="s">
        <v>361</v>
      </c>
      <c r="H62">
        <v>87.599998474121094</v>
      </c>
      <c r="I62">
        <v>4.9827504903078079E-2</v>
      </c>
      <c r="J62">
        <v>2.2153329999999999E-2</v>
      </c>
      <c r="K62">
        <v>2.5937080000000001E-2</v>
      </c>
      <c r="L62">
        <v>1.7884340000000002E-2</v>
      </c>
      <c r="M62" s="23">
        <f t="shared" si="4"/>
        <v>42766</v>
      </c>
      <c r="N62" s="99" t="e">
        <f t="shared" si="5"/>
        <v>#VALUE!</v>
      </c>
      <c r="O62" s="99" t="e">
        <f t="shared" si="6"/>
        <v>#VALUE!</v>
      </c>
      <c r="P62" s="99" t="e">
        <f t="shared" si="7"/>
        <v>#VALUE!</v>
      </c>
      <c r="Q62" s="99" t="e">
        <f t="shared" si="8"/>
        <v>#VALUE!</v>
      </c>
      <c r="R62" s="99" t="e">
        <f t="shared" si="10"/>
        <v>#VALUE!</v>
      </c>
      <c r="S62" s="99" t="e">
        <f t="shared" si="11"/>
        <v>#VALUE!</v>
      </c>
      <c r="T62" s="99" t="e">
        <f t="shared" si="12"/>
        <v>#VALUE!</v>
      </c>
      <c r="U62" s="99" t="e">
        <f t="shared" si="13"/>
        <v>#VALUE!</v>
      </c>
      <c r="AH62" s="114"/>
      <c r="AI62" s="114"/>
      <c r="AJ62" s="114"/>
      <c r="AK62" s="115"/>
    </row>
    <row r="63" spans="1:37" ht="15">
      <c r="A63">
        <v>18163</v>
      </c>
      <c r="B63" s="148">
        <v>42794</v>
      </c>
      <c r="C63" t="s">
        <v>361</v>
      </c>
      <c r="D63" t="s">
        <v>316</v>
      </c>
      <c r="E63" t="s">
        <v>362</v>
      </c>
      <c r="F63">
        <v>21446</v>
      </c>
      <c r="G63" t="s">
        <v>361</v>
      </c>
      <c r="H63">
        <v>91.069999694824219</v>
      </c>
      <c r="I63">
        <v>3.9611887186765671E-2</v>
      </c>
      <c r="J63">
        <v>3.2598380000000003E-2</v>
      </c>
      <c r="K63">
        <v>1.7121150000000002E-2</v>
      </c>
      <c r="L63">
        <v>3.7198260000000004E-2</v>
      </c>
      <c r="M63" s="23">
        <f t="shared" si="4"/>
        <v>42794</v>
      </c>
      <c r="N63" s="99" t="e">
        <f t="shared" si="5"/>
        <v>#VALUE!</v>
      </c>
      <c r="O63" s="99" t="e">
        <f t="shared" si="6"/>
        <v>#VALUE!</v>
      </c>
      <c r="P63" s="99" t="e">
        <f t="shared" si="7"/>
        <v>#VALUE!</v>
      </c>
      <c r="Q63" s="99" t="e">
        <f t="shared" si="8"/>
        <v>#VALUE!</v>
      </c>
      <c r="R63" s="99" t="e">
        <f t="shared" si="10"/>
        <v>#VALUE!</v>
      </c>
      <c r="S63" s="99" t="e">
        <f t="shared" si="11"/>
        <v>#VALUE!</v>
      </c>
      <c r="T63" s="99" t="e">
        <f t="shared" si="12"/>
        <v>#VALUE!</v>
      </c>
      <c r="U63" s="99" t="e">
        <f t="shared" si="13"/>
        <v>#VALUE!</v>
      </c>
      <c r="AH63" s="114"/>
      <c r="AI63" s="114"/>
      <c r="AJ63" s="114"/>
      <c r="AK63" s="115"/>
    </row>
    <row r="64" spans="1:37" ht="15">
      <c r="A64">
        <v>18163</v>
      </c>
      <c r="B64" s="148">
        <v>42825</v>
      </c>
      <c r="C64" t="s">
        <v>361</v>
      </c>
      <c r="D64" t="s">
        <v>316</v>
      </c>
      <c r="E64" t="s">
        <v>362</v>
      </c>
      <c r="F64">
        <v>21446</v>
      </c>
      <c r="G64" t="s">
        <v>361</v>
      </c>
      <c r="H64">
        <v>89.849998474121094</v>
      </c>
      <c r="I64">
        <v>-1.3396302238106728E-2</v>
      </c>
      <c r="J64">
        <v>2.061818E-3</v>
      </c>
      <c r="K64">
        <v>6.3779460000000007E-3</v>
      </c>
      <c r="L64">
        <v>-3.8923020000000003E-4</v>
      </c>
      <c r="M64" s="23">
        <f t="shared" si="4"/>
        <v>42825</v>
      </c>
      <c r="N64" s="99" t="e">
        <f t="shared" si="5"/>
        <v>#VALUE!</v>
      </c>
      <c r="O64" s="99" t="e">
        <f t="shared" si="6"/>
        <v>#VALUE!</v>
      </c>
      <c r="P64" s="99" t="e">
        <f t="shared" si="7"/>
        <v>#VALUE!</v>
      </c>
      <c r="Q64" s="99" t="e">
        <f t="shared" si="8"/>
        <v>#VALUE!</v>
      </c>
      <c r="R64" s="99" t="e">
        <f t="shared" si="10"/>
        <v>#VALUE!</v>
      </c>
      <c r="S64" s="99" t="e">
        <f t="shared" si="11"/>
        <v>#VALUE!</v>
      </c>
      <c r="T64" s="99" t="e">
        <f t="shared" si="12"/>
        <v>#VALUE!</v>
      </c>
      <c r="U64" s="99" t="e">
        <f t="shared" si="13"/>
        <v>#VALUE!</v>
      </c>
      <c r="AH64" s="114"/>
      <c r="AI64" s="114"/>
      <c r="AJ64" s="114"/>
      <c r="AK64" s="115"/>
    </row>
    <row r="65" spans="1:37" ht="15">
      <c r="A65">
        <v>18163</v>
      </c>
      <c r="B65" s="148">
        <v>42853</v>
      </c>
      <c r="C65" t="s">
        <v>361</v>
      </c>
      <c r="D65" t="s">
        <v>316</v>
      </c>
      <c r="E65" t="s">
        <v>362</v>
      </c>
      <c r="F65">
        <v>21446</v>
      </c>
      <c r="G65" t="s">
        <v>361</v>
      </c>
      <c r="H65">
        <v>87.330001831054688</v>
      </c>
      <c r="I65">
        <v>-2.03716941177845E-2</v>
      </c>
      <c r="J65">
        <v>9.6550310000000014E-3</v>
      </c>
      <c r="K65">
        <v>3.7090570000000004E-3</v>
      </c>
      <c r="L65">
        <v>9.0912170000000004E-3</v>
      </c>
      <c r="M65" s="23">
        <f t="shared" si="4"/>
        <v>42853</v>
      </c>
      <c r="N65" s="99" t="e">
        <f t="shared" si="5"/>
        <v>#VALUE!</v>
      </c>
      <c r="O65" s="99" t="e">
        <f t="shared" si="6"/>
        <v>#VALUE!</v>
      </c>
      <c r="P65" s="99" t="e">
        <f t="shared" si="7"/>
        <v>#VALUE!</v>
      </c>
      <c r="Q65" s="99" t="e">
        <f t="shared" si="8"/>
        <v>#VALUE!</v>
      </c>
      <c r="R65" s="99" t="e">
        <f t="shared" si="10"/>
        <v>#VALUE!</v>
      </c>
      <c r="S65" s="99" t="e">
        <f t="shared" si="11"/>
        <v>#VALUE!</v>
      </c>
      <c r="T65" s="99" t="e">
        <f t="shared" si="12"/>
        <v>#VALUE!</v>
      </c>
      <c r="U65" s="99" t="e">
        <f t="shared" si="13"/>
        <v>#VALUE!</v>
      </c>
      <c r="AH65" s="114"/>
      <c r="AI65" s="114"/>
      <c r="AJ65" s="114"/>
      <c r="AK65" s="115"/>
    </row>
    <row r="66" spans="1:37" ht="15">
      <c r="A66">
        <v>18163</v>
      </c>
      <c r="B66" s="148">
        <v>42886</v>
      </c>
      <c r="C66" t="s">
        <v>361</v>
      </c>
      <c r="D66" t="s">
        <v>316</v>
      </c>
      <c r="E66" t="s">
        <v>362</v>
      </c>
      <c r="F66">
        <v>21446</v>
      </c>
      <c r="G66" t="s">
        <v>361</v>
      </c>
      <c r="H66">
        <v>88.089996337890625</v>
      </c>
      <c r="I66">
        <v>8.7025593966245651E-3</v>
      </c>
      <c r="J66">
        <v>9.3348040000000004E-3</v>
      </c>
      <c r="K66">
        <v>-1.130051E-2</v>
      </c>
      <c r="L66">
        <v>1.157621E-2</v>
      </c>
      <c r="M66" s="23">
        <f t="shared" si="4"/>
        <v>42886</v>
      </c>
      <c r="N66" s="99" t="e">
        <f t="shared" si="5"/>
        <v>#VALUE!</v>
      </c>
      <c r="O66" s="99" t="e">
        <f t="shared" si="6"/>
        <v>#VALUE!</v>
      </c>
      <c r="P66" s="99" t="e">
        <f t="shared" si="7"/>
        <v>#VALUE!</v>
      </c>
      <c r="Q66" s="99" t="e">
        <f t="shared" si="8"/>
        <v>#VALUE!</v>
      </c>
      <c r="R66" s="99" t="e">
        <f t="shared" si="10"/>
        <v>#VALUE!</v>
      </c>
      <c r="S66" s="99" t="e">
        <f t="shared" si="11"/>
        <v>#VALUE!</v>
      </c>
      <c r="T66" s="99" t="e">
        <f t="shared" si="12"/>
        <v>#VALUE!</v>
      </c>
      <c r="U66" s="99" t="e">
        <f t="shared" si="13"/>
        <v>#VALUE!</v>
      </c>
      <c r="AH66" s="114"/>
      <c r="AI66" s="114"/>
      <c r="AJ66" s="114"/>
      <c r="AK66" s="115"/>
    </row>
    <row r="67" spans="1:37" ht="15">
      <c r="A67">
        <v>18163</v>
      </c>
      <c r="B67" s="148">
        <v>42916</v>
      </c>
      <c r="C67" t="s">
        <v>361</v>
      </c>
      <c r="D67" t="s">
        <v>316</v>
      </c>
      <c r="E67" t="s">
        <v>362</v>
      </c>
      <c r="F67">
        <v>21446</v>
      </c>
      <c r="G67" t="s">
        <v>361</v>
      </c>
      <c r="H67">
        <v>87.150001525878906</v>
      </c>
      <c r="I67">
        <v>-1.0670846328139305E-2</v>
      </c>
      <c r="J67">
        <v>9.570691000000001E-3</v>
      </c>
      <c r="K67">
        <v>2.2960350000000001E-2</v>
      </c>
      <c r="L67">
        <v>4.8138320000000005E-3</v>
      </c>
      <c r="M67" s="23">
        <f t="shared" ref="M67:M110" si="14">B67</f>
        <v>42916</v>
      </c>
      <c r="N67" s="99" t="e">
        <f t="shared" ref="N67:N130" si="15">IF(AND(($W$12-4)&lt;=$M67,($W$13)&gt;=($M67-4)),I67," ")</f>
        <v>#VALUE!</v>
      </c>
      <c r="O67" s="99" t="e">
        <f t="shared" ref="O67:O130" si="16">IF(AND(($W$12-4)&lt;=$M67,($W$13)&gt;=($M67-4)),J67," ")</f>
        <v>#VALUE!</v>
      </c>
      <c r="P67" s="99" t="e">
        <f t="shared" ref="P67:P130" si="17">IF(AND(($W$12-4)&lt;=$M67,($W$13)&gt;=($M67-4)),K67," ")</f>
        <v>#VALUE!</v>
      </c>
      <c r="Q67" s="99" t="e">
        <f t="shared" ref="Q67:Q130" si="18">IF(AND(($W$12-4)&lt;=$M67,($W$13)&gt;=($M67-4)),L67," ")</f>
        <v>#VALUE!</v>
      </c>
      <c r="R67" s="99" t="e">
        <f t="shared" si="10"/>
        <v>#VALUE!</v>
      </c>
      <c r="S67" s="99" t="e">
        <f t="shared" si="11"/>
        <v>#VALUE!</v>
      </c>
      <c r="T67" s="99" t="e">
        <f t="shared" si="12"/>
        <v>#VALUE!</v>
      </c>
      <c r="U67" s="99" t="e">
        <f t="shared" si="13"/>
        <v>#VALUE!</v>
      </c>
      <c r="AH67" s="114"/>
      <c r="AI67" s="114"/>
      <c r="AJ67" s="114"/>
      <c r="AK67" s="115"/>
    </row>
    <row r="68" spans="1:37" ht="15">
      <c r="A68">
        <v>18163</v>
      </c>
      <c r="B68" s="148">
        <v>42947</v>
      </c>
      <c r="C68" t="s">
        <v>361</v>
      </c>
      <c r="D68" t="s">
        <v>316</v>
      </c>
      <c r="E68" t="s">
        <v>362</v>
      </c>
      <c r="F68">
        <v>21446</v>
      </c>
      <c r="G68" t="s">
        <v>361</v>
      </c>
      <c r="H68">
        <v>90.819999694824219</v>
      </c>
      <c r="I68">
        <v>5.0024073570966721E-2</v>
      </c>
      <c r="J68">
        <v>2.0277440000000001E-2</v>
      </c>
      <c r="K68">
        <v>9.0817320000000003E-3</v>
      </c>
      <c r="L68">
        <v>1.9348770000000001E-2</v>
      </c>
      <c r="M68" s="23">
        <f t="shared" si="14"/>
        <v>42947</v>
      </c>
      <c r="N68" s="99" t="e">
        <f t="shared" si="15"/>
        <v>#VALUE!</v>
      </c>
      <c r="O68" s="99" t="e">
        <f t="shared" si="16"/>
        <v>#VALUE!</v>
      </c>
      <c r="P68" s="99" t="e">
        <f t="shared" si="17"/>
        <v>#VALUE!</v>
      </c>
      <c r="Q68" s="99" t="e">
        <f t="shared" si="18"/>
        <v>#VALUE!</v>
      </c>
      <c r="R68" s="99" t="e">
        <f t="shared" si="10"/>
        <v>#VALUE!</v>
      </c>
      <c r="S68" s="99" t="e">
        <f t="shared" si="11"/>
        <v>#VALUE!</v>
      </c>
      <c r="T68" s="99" t="e">
        <f t="shared" si="12"/>
        <v>#VALUE!</v>
      </c>
      <c r="U68" s="99" t="e">
        <f t="shared" si="13"/>
        <v>#VALUE!</v>
      </c>
      <c r="AH68" s="114"/>
      <c r="AI68" s="114"/>
      <c r="AJ68" s="114"/>
      <c r="AK68" s="115"/>
    </row>
    <row r="69" spans="1:37" ht="15">
      <c r="A69">
        <v>18163</v>
      </c>
      <c r="B69" s="148">
        <v>42978</v>
      </c>
      <c r="C69" t="s">
        <v>361</v>
      </c>
      <c r="D69" t="s">
        <v>316</v>
      </c>
      <c r="E69" t="s">
        <v>362</v>
      </c>
      <c r="F69">
        <v>21446</v>
      </c>
      <c r="G69" t="s">
        <v>361</v>
      </c>
      <c r="H69">
        <v>92.269996643066406</v>
      </c>
      <c r="I69">
        <v>1.5965612605214119E-2</v>
      </c>
      <c r="J69">
        <v>1.6003310000000002E-3</v>
      </c>
      <c r="K69">
        <v>-8.7258630000000004E-3</v>
      </c>
      <c r="L69">
        <v>5.4649229999999998E-4</v>
      </c>
      <c r="M69" s="23">
        <f t="shared" si="14"/>
        <v>42978</v>
      </c>
      <c r="N69" s="99" t="e">
        <f t="shared" si="15"/>
        <v>#VALUE!</v>
      </c>
      <c r="O69" s="99" t="e">
        <f t="shared" si="16"/>
        <v>#VALUE!</v>
      </c>
      <c r="P69" s="99" t="e">
        <f t="shared" si="17"/>
        <v>#VALUE!</v>
      </c>
      <c r="Q69" s="99" t="e">
        <f t="shared" si="18"/>
        <v>#VALUE!</v>
      </c>
      <c r="R69" s="99" t="e">
        <f t="shared" si="10"/>
        <v>#VALUE!</v>
      </c>
      <c r="S69" s="99" t="e">
        <f t="shared" si="11"/>
        <v>#VALUE!</v>
      </c>
      <c r="T69" s="99" t="e">
        <f t="shared" si="12"/>
        <v>#VALUE!</v>
      </c>
      <c r="U69" s="99" t="e">
        <f t="shared" si="13"/>
        <v>#VALUE!</v>
      </c>
      <c r="AH69" s="114"/>
      <c r="AI69" s="114"/>
      <c r="AJ69" s="114"/>
      <c r="AK69" s="115"/>
    </row>
    <row r="70" spans="1:37" ht="15">
      <c r="A70">
        <v>18163</v>
      </c>
      <c r="B70" s="148">
        <v>43007</v>
      </c>
      <c r="C70" t="s">
        <v>361</v>
      </c>
      <c r="D70" t="s">
        <v>316</v>
      </c>
      <c r="E70" t="s">
        <v>362</v>
      </c>
      <c r="F70">
        <v>21446</v>
      </c>
      <c r="G70" t="s">
        <v>361</v>
      </c>
      <c r="H70">
        <v>90.980003356933594</v>
      </c>
      <c r="I70">
        <v>-1.398063637316227E-2</v>
      </c>
      <c r="J70">
        <v>2.3729050000000002E-2</v>
      </c>
      <c r="K70">
        <v>4.6844530000000002E-2</v>
      </c>
      <c r="L70">
        <v>1.9302900000000001E-2</v>
      </c>
      <c r="M70" s="23">
        <f t="shared" si="14"/>
        <v>43007</v>
      </c>
      <c r="N70" s="99" t="e">
        <f t="shared" si="15"/>
        <v>#VALUE!</v>
      </c>
      <c r="O70" s="99" t="e">
        <f t="shared" si="16"/>
        <v>#VALUE!</v>
      </c>
      <c r="P70" s="99" t="e">
        <f t="shared" si="17"/>
        <v>#VALUE!</v>
      </c>
      <c r="Q70" s="99" t="e">
        <f t="shared" si="18"/>
        <v>#VALUE!</v>
      </c>
      <c r="R70" s="99" t="e">
        <f t="shared" si="10"/>
        <v>#VALUE!</v>
      </c>
      <c r="S70" s="99" t="e">
        <f t="shared" si="11"/>
        <v>#VALUE!</v>
      </c>
      <c r="T70" s="99" t="e">
        <f t="shared" si="12"/>
        <v>#VALUE!</v>
      </c>
      <c r="U70" s="99" t="e">
        <f t="shared" si="13"/>
        <v>#VALUE!</v>
      </c>
      <c r="AH70" s="114"/>
      <c r="AI70" s="114"/>
      <c r="AJ70" s="114"/>
      <c r="AK70" s="115"/>
    </row>
    <row r="71" spans="1:37" ht="15">
      <c r="A71">
        <v>18163</v>
      </c>
      <c r="B71" s="148">
        <v>43039</v>
      </c>
      <c r="C71" t="s">
        <v>361</v>
      </c>
      <c r="D71" t="s">
        <v>316</v>
      </c>
      <c r="E71" t="s">
        <v>362</v>
      </c>
      <c r="F71">
        <v>21446</v>
      </c>
      <c r="G71" t="s">
        <v>361</v>
      </c>
      <c r="H71">
        <v>86.339996337890625</v>
      </c>
      <c r="I71">
        <v>-4.3420609086751938E-2</v>
      </c>
      <c r="J71">
        <v>1.9274800000000002E-2</v>
      </c>
      <c r="K71">
        <v>2.2387080000000003E-3</v>
      </c>
      <c r="L71">
        <v>2.2188180000000002E-2</v>
      </c>
      <c r="M71" s="23">
        <f t="shared" si="14"/>
        <v>43039</v>
      </c>
      <c r="N71" s="99" t="e">
        <f t="shared" si="15"/>
        <v>#VALUE!</v>
      </c>
      <c r="O71" s="99" t="e">
        <f t="shared" si="16"/>
        <v>#VALUE!</v>
      </c>
      <c r="P71" s="99" t="e">
        <f t="shared" si="17"/>
        <v>#VALUE!</v>
      </c>
      <c r="Q71" s="99" t="e">
        <f t="shared" si="18"/>
        <v>#VALUE!</v>
      </c>
      <c r="R71" s="99" t="e">
        <f t="shared" si="10"/>
        <v>#VALUE!</v>
      </c>
      <c r="S71" s="99" t="e">
        <f t="shared" si="11"/>
        <v>#VALUE!</v>
      </c>
      <c r="T71" s="99" t="e">
        <f t="shared" si="12"/>
        <v>#VALUE!</v>
      </c>
      <c r="U71" s="99" t="e">
        <f t="shared" si="13"/>
        <v>#VALUE!</v>
      </c>
      <c r="AH71" s="114"/>
      <c r="AI71" s="114"/>
      <c r="AJ71" s="114"/>
      <c r="AK71" s="115"/>
    </row>
    <row r="72" spans="1:37" ht="15">
      <c r="A72">
        <v>18163</v>
      </c>
      <c r="B72" s="148">
        <v>43069</v>
      </c>
      <c r="C72" t="s">
        <v>361</v>
      </c>
      <c r="D72" t="s">
        <v>316</v>
      </c>
      <c r="E72" t="s">
        <v>362</v>
      </c>
      <c r="F72">
        <v>21446</v>
      </c>
      <c r="G72" t="s">
        <v>361</v>
      </c>
      <c r="H72">
        <v>89.989997863769531</v>
      </c>
      <c r="I72">
        <v>4.2274747043848038E-2</v>
      </c>
      <c r="J72">
        <v>2.7231450000000001E-2</v>
      </c>
      <c r="K72">
        <v>2.0842570000000001E-2</v>
      </c>
      <c r="L72">
        <v>2.8082599999999999E-2</v>
      </c>
      <c r="M72" s="23">
        <f t="shared" si="14"/>
        <v>43069</v>
      </c>
      <c r="N72" s="99" t="e">
        <f t="shared" si="15"/>
        <v>#VALUE!</v>
      </c>
      <c r="O72" s="99" t="e">
        <f t="shared" si="16"/>
        <v>#VALUE!</v>
      </c>
      <c r="P72" s="99" t="e">
        <f t="shared" si="17"/>
        <v>#VALUE!</v>
      </c>
      <c r="Q72" s="99" t="e">
        <f t="shared" si="18"/>
        <v>#VALUE!</v>
      </c>
      <c r="R72" s="99" t="e">
        <f t="shared" si="10"/>
        <v>#VALUE!</v>
      </c>
      <c r="S72" s="99" t="e">
        <f t="shared" si="11"/>
        <v>#VALUE!</v>
      </c>
      <c r="T72" s="99" t="e">
        <f t="shared" si="12"/>
        <v>#VALUE!</v>
      </c>
      <c r="U72" s="99" t="e">
        <f t="shared" si="13"/>
        <v>#VALUE!</v>
      </c>
      <c r="AH72" s="114"/>
      <c r="AI72" s="114"/>
      <c r="AJ72" s="114"/>
      <c r="AK72" s="115"/>
    </row>
    <row r="73" spans="1:37" ht="15">
      <c r="A73">
        <v>18163</v>
      </c>
      <c r="B73" s="148">
        <v>43098</v>
      </c>
      <c r="C73" t="s">
        <v>361</v>
      </c>
      <c r="D73" t="s">
        <v>316</v>
      </c>
      <c r="E73" t="s">
        <v>362</v>
      </c>
      <c r="F73">
        <v>21446</v>
      </c>
      <c r="G73" t="s">
        <v>361</v>
      </c>
      <c r="H73">
        <v>91.879997253417969</v>
      </c>
      <c r="I73">
        <v>2.1002328023314476E-2</v>
      </c>
      <c r="J73">
        <v>1.212235E-2</v>
      </c>
      <c r="K73">
        <v>1.41853E-2</v>
      </c>
      <c r="L73">
        <v>9.8316189999999998E-3</v>
      </c>
      <c r="M73" s="23">
        <f t="shared" si="14"/>
        <v>43098</v>
      </c>
      <c r="N73" s="99" t="e">
        <f t="shared" si="15"/>
        <v>#VALUE!</v>
      </c>
      <c r="O73" s="99" t="e">
        <f t="shared" si="16"/>
        <v>#VALUE!</v>
      </c>
      <c r="P73" s="99" t="e">
        <f t="shared" si="17"/>
        <v>#VALUE!</v>
      </c>
      <c r="Q73" s="99" t="e">
        <f t="shared" si="18"/>
        <v>#VALUE!</v>
      </c>
      <c r="R73" s="99" t="e">
        <f t="shared" si="10"/>
        <v>#VALUE!</v>
      </c>
      <c r="S73" s="99" t="e">
        <f t="shared" si="11"/>
        <v>#VALUE!</v>
      </c>
      <c r="T73" s="99" t="e">
        <f t="shared" si="12"/>
        <v>#VALUE!</v>
      </c>
      <c r="U73" s="99" t="e">
        <f t="shared" si="13"/>
        <v>#VALUE!</v>
      </c>
      <c r="AH73" s="114"/>
      <c r="AI73" s="114"/>
      <c r="AJ73" s="114"/>
      <c r="AK73" s="115"/>
    </row>
    <row r="74" spans="1:37" ht="15">
      <c r="A74">
        <v>18163</v>
      </c>
      <c r="B74" s="148">
        <v>43131</v>
      </c>
      <c r="C74" t="s">
        <v>361</v>
      </c>
      <c r="D74" t="s">
        <v>316</v>
      </c>
      <c r="E74" t="s">
        <v>362</v>
      </c>
      <c r="F74">
        <v>21446</v>
      </c>
      <c r="G74" t="s">
        <v>361</v>
      </c>
      <c r="H74">
        <v>86.339996337890625</v>
      </c>
      <c r="I74">
        <v>-5.2790608257055283E-2</v>
      </c>
      <c r="J74">
        <v>5.0576549999999998E-2</v>
      </c>
      <c r="K74">
        <v>2.9440879999999999E-2</v>
      </c>
      <c r="L74">
        <v>5.6178730000000003E-2</v>
      </c>
      <c r="M74" s="23">
        <f t="shared" si="14"/>
        <v>43131</v>
      </c>
      <c r="N74" s="99" t="e">
        <f t="shared" si="15"/>
        <v>#VALUE!</v>
      </c>
      <c r="O74" s="99" t="e">
        <f t="shared" si="16"/>
        <v>#VALUE!</v>
      </c>
      <c r="P74" s="99" t="e">
        <f t="shared" si="17"/>
        <v>#VALUE!</v>
      </c>
      <c r="Q74" s="99" t="e">
        <f t="shared" si="18"/>
        <v>#VALUE!</v>
      </c>
      <c r="R74" s="99" t="e">
        <f t="shared" si="10"/>
        <v>#VALUE!</v>
      </c>
      <c r="S74" s="99" t="e">
        <f t="shared" si="11"/>
        <v>#VALUE!</v>
      </c>
      <c r="T74" s="99" t="e">
        <f t="shared" si="12"/>
        <v>#VALUE!</v>
      </c>
      <c r="U74" s="99" t="e">
        <f t="shared" si="13"/>
        <v>#VALUE!</v>
      </c>
      <c r="AH74" s="114"/>
      <c r="AI74" s="114"/>
      <c r="AJ74" s="114"/>
      <c r="AK74" s="115"/>
    </row>
    <row r="75" spans="1:37" ht="15">
      <c r="A75">
        <v>18163</v>
      </c>
      <c r="B75" s="148">
        <v>43159</v>
      </c>
      <c r="C75" t="s">
        <v>361</v>
      </c>
      <c r="D75" t="s">
        <v>316</v>
      </c>
      <c r="E75" t="s">
        <v>362</v>
      </c>
      <c r="F75">
        <v>21446</v>
      </c>
      <c r="G75" t="s">
        <v>361</v>
      </c>
      <c r="H75">
        <v>78.519996643066406</v>
      </c>
      <c r="I75">
        <v>-9.0572156012058258E-2</v>
      </c>
      <c r="J75">
        <v>-3.9454500000000003E-2</v>
      </c>
      <c r="K75">
        <v>-4.0026079999999999E-2</v>
      </c>
      <c r="L75">
        <v>-3.8947380000000004E-2</v>
      </c>
      <c r="M75" s="23">
        <f t="shared" si="14"/>
        <v>43159</v>
      </c>
      <c r="N75" s="99" t="e">
        <f t="shared" si="15"/>
        <v>#VALUE!</v>
      </c>
      <c r="O75" s="99" t="e">
        <f t="shared" si="16"/>
        <v>#VALUE!</v>
      </c>
      <c r="P75" s="99" t="e">
        <f t="shared" si="17"/>
        <v>#VALUE!</v>
      </c>
      <c r="Q75" s="99" t="e">
        <f t="shared" si="18"/>
        <v>#VALUE!</v>
      </c>
      <c r="R75" s="99" t="e">
        <f t="shared" si="10"/>
        <v>#VALUE!</v>
      </c>
      <c r="S75" s="99" t="e">
        <f t="shared" si="11"/>
        <v>#VALUE!</v>
      </c>
      <c r="T75" s="99" t="e">
        <f t="shared" si="12"/>
        <v>#VALUE!</v>
      </c>
      <c r="U75" s="99" t="e">
        <f t="shared" si="13"/>
        <v>#VALUE!</v>
      </c>
      <c r="AH75" s="114"/>
      <c r="AI75" s="114"/>
      <c r="AJ75" s="114"/>
      <c r="AK75" s="115"/>
    </row>
    <row r="76" spans="1:37" ht="15">
      <c r="A76">
        <v>18163</v>
      </c>
      <c r="B76" s="148">
        <v>43188</v>
      </c>
      <c r="C76" t="s">
        <v>361</v>
      </c>
      <c r="D76" t="s">
        <v>316</v>
      </c>
      <c r="E76" t="s">
        <v>362</v>
      </c>
      <c r="F76">
        <v>21446</v>
      </c>
      <c r="G76" t="s">
        <v>361</v>
      </c>
      <c r="H76">
        <v>79.279998779296875</v>
      </c>
      <c r="I76">
        <v>9.6790902316570282E-3</v>
      </c>
      <c r="J76">
        <v>-1.8421E-2</v>
      </c>
      <c r="K76">
        <v>1.2416130000000001E-3</v>
      </c>
      <c r="L76">
        <v>-2.688451E-2</v>
      </c>
      <c r="M76" s="23">
        <f t="shared" si="14"/>
        <v>43188</v>
      </c>
      <c r="N76" s="99" t="e">
        <f t="shared" si="15"/>
        <v>#VALUE!</v>
      </c>
      <c r="O76" s="99" t="e">
        <f t="shared" si="16"/>
        <v>#VALUE!</v>
      </c>
      <c r="P76" s="99" t="e">
        <f t="shared" si="17"/>
        <v>#VALUE!</v>
      </c>
      <c r="Q76" s="99" t="e">
        <f t="shared" si="18"/>
        <v>#VALUE!</v>
      </c>
      <c r="R76" s="99" t="e">
        <f t="shared" ref="R76:R139" si="19">IF(AND(($W$15-4)&lt;=$M76,($W$16)&gt;=($M76-4)),I76," ")</f>
        <v>#VALUE!</v>
      </c>
      <c r="S76" s="99" t="e">
        <f t="shared" ref="S76:S139" si="20">IF(AND(($W$15-4)&lt;=$M76,($W$16)&gt;=($M76-4)),J76," ")</f>
        <v>#VALUE!</v>
      </c>
      <c r="T76" s="99" t="e">
        <f t="shared" ref="T76:T139" si="21">IF(AND(($W$15-4)&lt;=$M76,($W$16)&gt;=($M76-4)),K76," ")</f>
        <v>#VALUE!</v>
      </c>
      <c r="U76" s="99" t="e">
        <f t="shared" si="13"/>
        <v>#VALUE!</v>
      </c>
      <c r="AH76" s="114"/>
      <c r="AI76" s="114"/>
      <c r="AJ76" s="114"/>
      <c r="AK76" s="115"/>
    </row>
    <row r="77" spans="1:37" ht="15">
      <c r="A77">
        <v>18163</v>
      </c>
      <c r="B77" s="148">
        <v>43220</v>
      </c>
      <c r="C77" t="s">
        <v>361</v>
      </c>
      <c r="D77" t="s">
        <v>316</v>
      </c>
      <c r="E77" t="s">
        <v>362</v>
      </c>
      <c r="F77">
        <v>21446</v>
      </c>
      <c r="G77" t="s">
        <v>361</v>
      </c>
      <c r="H77">
        <v>72.339996337890625</v>
      </c>
      <c r="I77">
        <v>-7.8491456806659698E-2</v>
      </c>
      <c r="J77">
        <v>4.6788350000000001E-3</v>
      </c>
      <c r="K77">
        <v>8.169158000000001E-3</v>
      </c>
      <c r="L77">
        <v>2.7188010000000003E-3</v>
      </c>
      <c r="M77" s="23">
        <f t="shared" si="14"/>
        <v>43220</v>
      </c>
      <c r="N77" s="99" t="e">
        <f t="shared" si="15"/>
        <v>#VALUE!</v>
      </c>
      <c r="O77" s="99" t="e">
        <f t="shared" si="16"/>
        <v>#VALUE!</v>
      </c>
      <c r="P77" s="99" t="e">
        <f t="shared" si="17"/>
        <v>#VALUE!</v>
      </c>
      <c r="Q77" s="99" t="e">
        <f t="shared" si="18"/>
        <v>#VALUE!</v>
      </c>
      <c r="R77" s="99" t="e">
        <f t="shared" si="19"/>
        <v>#VALUE!</v>
      </c>
      <c r="S77" s="99" t="e">
        <f t="shared" si="20"/>
        <v>#VALUE!</v>
      </c>
      <c r="T77" s="99" t="e">
        <f t="shared" si="21"/>
        <v>#VALUE!</v>
      </c>
      <c r="U77" s="99" t="e">
        <f t="shared" si="13"/>
        <v>#VALUE!</v>
      </c>
      <c r="AH77" s="114"/>
      <c r="AI77" s="114"/>
      <c r="AJ77" s="114"/>
      <c r="AK77" s="115"/>
    </row>
    <row r="78" spans="1:37" ht="15">
      <c r="A78">
        <v>18163</v>
      </c>
      <c r="B78" s="148">
        <v>43251</v>
      </c>
      <c r="C78" t="s">
        <v>361</v>
      </c>
      <c r="D78" t="s">
        <v>316</v>
      </c>
      <c r="E78" t="s">
        <v>362</v>
      </c>
      <c r="F78">
        <v>21446</v>
      </c>
      <c r="G78" t="s">
        <v>361</v>
      </c>
      <c r="H78">
        <v>73.169998168945313</v>
      </c>
      <c r="I78">
        <v>1.1473623104393482E-2</v>
      </c>
      <c r="J78">
        <v>2.6145640000000001E-2</v>
      </c>
      <c r="K78">
        <v>3.4593409999999998E-2</v>
      </c>
      <c r="L78">
        <v>2.1608350000000002E-2</v>
      </c>
      <c r="M78" s="23">
        <f t="shared" si="14"/>
        <v>43251</v>
      </c>
      <c r="N78" s="99" t="e">
        <f t="shared" si="15"/>
        <v>#VALUE!</v>
      </c>
      <c r="O78" s="99" t="e">
        <f t="shared" si="16"/>
        <v>#VALUE!</v>
      </c>
      <c r="P78" s="99" t="e">
        <f t="shared" si="17"/>
        <v>#VALUE!</v>
      </c>
      <c r="Q78" s="99" t="e">
        <f t="shared" si="18"/>
        <v>#VALUE!</v>
      </c>
      <c r="R78" s="99" t="e">
        <f t="shared" si="19"/>
        <v>#VALUE!</v>
      </c>
      <c r="S78" s="99" t="e">
        <f t="shared" si="20"/>
        <v>#VALUE!</v>
      </c>
      <c r="T78" s="99" t="e">
        <f t="shared" si="21"/>
        <v>#VALUE!</v>
      </c>
      <c r="U78" s="99" t="e">
        <f t="shared" si="13"/>
        <v>#VALUE!</v>
      </c>
      <c r="AH78" s="114"/>
      <c r="AI78" s="114"/>
      <c r="AJ78" s="114"/>
      <c r="AK78" s="115"/>
    </row>
    <row r="79" spans="1:37" ht="15">
      <c r="A79">
        <v>18163</v>
      </c>
      <c r="B79" s="148">
        <v>43280</v>
      </c>
      <c r="C79" t="s">
        <v>361</v>
      </c>
      <c r="D79" t="s">
        <v>316</v>
      </c>
      <c r="E79" t="s">
        <v>362</v>
      </c>
      <c r="F79">
        <v>21446</v>
      </c>
      <c r="G79" t="s">
        <v>361</v>
      </c>
      <c r="H79">
        <v>78.05999755859375</v>
      </c>
      <c r="I79">
        <v>6.6830664873123169E-2</v>
      </c>
      <c r="J79">
        <v>5.3594790000000003E-3</v>
      </c>
      <c r="K79">
        <v>2.7898560000000003E-3</v>
      </c>
      <c r="L79">
        <v>4.8424000000000002E-3</v>
      </c>
      <c r="M79" s="23">
        <f t="shared" si="14"/>
        <v>43280</v>
      </c>
      <c r="N79" s="99" t="e">
        <f t="shared" si="15"/>
        <v>#VALUE!</v>
      </c>
      <c r="O79" s="99" t="e">
        <f t="shared" si="16"/>
        <v>#VALUE!</v>
      </c>
      <c r="P79" s="99" t="e">
        <f t="shared" si="17"/>
        <v>#VALUE!</v>
      </c>
      <c r="Q79" s="99" t="e">
        <f t="shared" si="18"/>
        <v>#VALUE!</v>
      </c>
      <c r="R79" s="99" t="e">
        <f t="shared" si="19"/>
        <v>#VALUE!</v>
      </c>
      <c r="S79" s="99" t="e">
        <f t="shared" si="20"/>
        <v>#VALUE!</v>
      </c>
      <c r="T79" s="99" t="e">
        <f t="shared" si="21"/>
        <v>#VALUE!</v>
      </c>
      <c r="U79" s="99" t="e">
        <f t="shared" si="13"/>
        <v>#VALUE!</v>
      </c>
      <c r="AH79" s="114"/>
      <c r="AI79" s="114"/>
      <c r="AJ79" s="114"/>
      <c r="AK79" s="115"/>
    </row>
    <row r="80" spans="1:37" ht="15">
      <c r="A80">
        <v>18163</v>
      </c>
      <c r="B80" s="148">
        <v>43312</v>
      </c>
      <c r="C80" t="s">
        <v>361</v>
      </c>
      <c r="D80" t="s">
        <v>316</v>
      </c>
      <c r="E80" t="s">
        <v>362</v>
      </c>
      <c r="F80">
        <v>21446</v>
      </c>
      <c r="G80" t="s">
        <v>361</v>
      </c>
      <c r="H80">
        <v>80.879997253417969</v>
      </c>
      <c r="I80">
        <v>4.531385749578476E-2</v>
      </c>
      <c r="J80">
        <v>3.157314E-2</v>
      </c>
      <c r="K80">
        <v>6.8374520000000008E-3</v>
      </c>
      <c r="L80">
        <v>3.6021589999999999E-2</v>
      </c>
      <c r="M80" s="23">
        <f t="shared" si="14"/>
        <v>43312</v>
      </c>
      <c r="N80" s="99" t="e">
        <f t="shared" si="15"/>
        <v>#VALUE!</v>
      </c>
      <c r="O80" s="99" t="e">
        <f t="shared" si="16"/>
        <v>#VALUE!</v>
      </c>
      <c r="P80" s="99" t="e">
        <f t="shared" si="17"/>
        <v>#VALUE!</v>
      </c>
      <c r="Q80" s="99" t="e">
        <f t="shared" si="18"/>
        <v>#VALUE!</v>
      </c>
      <c r="R80" s="99" t="e">
        <f t="shared" si="19"/>
        <v>#VALUE!</v>
      </c>
      <c r="S80" s="99" t="e">
        <f t="shared" si="20"/>
        <v>#VALUE!</v>
      </c>
      <c r="T80" s="99" t="e">
        <f t="shared" si="21"/>
        <v>#VALUE!</v>
      </c>
      <c r="U80" s="99" t="e">
        <f t="shared" ref="U80:U143" si="22">IF(AND(($W$15-4)&lt;=$M80,($W$16)&gt;=($M80-4)),L80," ")</f>
        <v>#VALUE!</v>
      </c>
      <c r="AH80" s="114"/>
      <c r="AI80" s="114"/>
      <c r="AJ80" s="114"/>
      <c r="AK80" s="115"/>
    </row>
    <row r="81" spans="1:37" ht="15">
      <c r="A81">
        <v>18163</v>
      </c>
      <c r="B81" s="148">
        <v>43343</v>
      </c>
      <c r="C81" t="s">
        <v>361</v>
      </c>
      <c r="D81" t="s">
        <v>316</v>
      </c>
      <c r="E81" t="s">
        <v>362</v>
      </c>
      <c r="F81">
        <v>21446</v>
      </c>
      <c r="G81" t="s">
        <v>361</v>
      </c>
      <c r="H81">
        <v>82.949996948242188</v>
      </c>
      <c r="I81">
        <v>2.55934689193964E-2</v>
      </c>
      <c r="J81">
        <v>3.0233019999999999E-2</v>
      </c>
      <c r="K81">
        <v>1.920053E-2</v>
      </c>
      <c r="L81">
        <v>3.026322E-2</v>
      </c>
      <c r="M81" s="23">
        <f t="shared" si="14"/>
        <v>43343</v>
      </c>
      <c r="N81" s="99" t="e">
        <f t="shared" si="15"/>
        <v>#VALUE!</v>
      </c>
      <c r="O81" s="99" t="e">
        <f t="shared" si="16"/>
        <v>#VALUE!</v>
      </c>
      <c r="P81" s="99" t="e">
        <f t="shared" si="17"/>
        <v>#VALUE!</v>
      </c>
      <c r="Q81" s="99" t="e">
        <f t="shared" si="18"/>
        <v>#VALUE!</v>
      </c>
      <c r="R81" s="99" t="e">
        <f t="shared" si="19"/>
        <v>#VALUE!</v>
      </c>
      <c r="S81" s="99" t="e">
        <f t="shared" si="20"/>
        <v>#VALUE!</v>
      </c>
      <c r="T81" s="99" t="e">
        <f t="shared" si="21"/>
        <v>#VALUE!</v>
      </c>
      <c r="U81" s="99" t="e">
        <f t="shared" si="22"/>
        <v>#VALUE!</v>
      </c>
      <c r="AH81" s="114"/>
      <c r="AI81" s="114"/>
      <c r="AJ81" s="114"/>
      <c r="AK81" s="115"/>
    </row>
    <row r="82" spans="1:37" ht="15">
      <c r="A82">
        <v>18163</v>
      </c>
      <c r="B82" s="148">
        <v>43371</v>
      </c>
      <c r="C82" t="s">
        <v>361</v>
      </c>
      <c r="D82" t="s">
        <v>316</v>
      </c>
      <c r="E82" t="s">
        <v>362</v>
      </c>
      <c r="F82">
        <v>21446</v>
      </c>
      <c r="G82" t="s">
        <v>361</v>
      </c>
      <c r="H82">
        <v>83.230003356933594</v>
      </c>
      <c r="I82">
        <v>3.3756047487258911E-3</v>
      </c>
      <c r="J82">
        <v>4.2462020000000002E-4</v>
      </c>
      <c r="K82">
        <v>-1.0332350000000001E-2</v>
      </c>
      <c r="L82">
        <v>4.2943010000000004E-3</v>
      </c>
      <c r="M82" s="23">
        <f t="shared" si="14"/>
        <v>43371</v>
      </c>
      <c r="N82" s="99" t="e">
        <f t="shared" si="15"/>
        <v>#VALUE!</v>
      </c>
      <c r="O82" s="99" t="e">
        <f t="shared" si="16"/>
        <v>#VALUE!</v>
      </c>
      <c r="P82" s="99" t="e">
        <f t="shared" si="17"/>
        <v>#VALUE!</v>
      </c>
      <c r="Q82" s="99" t="e">
        <f t="shared" si="18"/>
        <v>#VALUE!</v>
      </c>
      <c r="R82" s="99" t="e">
        <f t="shared" si="19"/>
        <v>#VALUE!</v>
      </c>
      <c r="S82" s="99" t="e">
        <f t="shared" si="20"/>
        <v>#VALUE!</v>
      </c>
      <c r="T82" s="99" t="e">
        <f t="shared" si="21"/>
        <v>#VALUE!</v>
      </c>
      <c r="U82" s="99" t="e">
        <f t="shared" si="22"/>
        <v>#VALUE!</v>
      </c>
      <c r="AH82" s="114"/>
      <c r="AI82" s="114"/>
      <c r="AJ82" s="114"/>
      <c r="AK82" s="115"/>
    </row>
    <row r="83" spans="1:37" ht="15">
      <c r="A83">
        <v>18163</v>
      </c>
      <c r="B83" s="148">
        <v>43404</v>
      </c>
      <c r="C83" t="s">
        <v>361</v>
      </c>
      <c r="D83" t="s">
        <v>316</v>
      </c>
      <c r="E83" t="s">
        <v>362</v>
      </c>
      <c r="F83">
        <v>21446</v>
      </c>
      <c r="G83" t="s">
        <v>361</v>
      </c>
      <c r="H83">
        <v>88.680000305175781</v>
      </c>
      <c r="I83">
        <v>7.4098244309425354E-2</v>
      </c>
      <c r="J83">
        <v>-7.4045380000000008E-2</v>
      </c>
      <c r="K83">
        <v>-8.2374849999999999E-2</v>
      </c>
      <c r="L83">
        <v>-6.9403359999999997E-2</v>
      </c>
      <c r="M83" s="23">
        <f t="shared" si="14"/>
        <v>43404</v>
      </c>
      <c r="N83" s="99" t="e">
        <f t="shared" si="15"/>
        <v>#VALUE!</v>
      </c>
      <c r="O83" s="99" t="e">
        <f t="shared" si="16"/>
        <v>#VALUE!</v>
      </c>
      <c r="P83" s="99" t="e">
        <f t="shared" si="17"/>
        <v>#VALUE!</v>
      </c>
      <c r="Q83" s="99" t="e">
        <f t="shared" si="18"/>
        <v>#VALUE!</v>
      </c>
      <c r="R83" s="99" t="e">
        <f t="shared" si="19"/>
        <v>#VALUE!</v>
      </c>
      <c r="S83" s="99" t="e">
        <f t="shared" si="20"/>
        <v>#VALUE!</v>
      </c>
      <c r="T83" s="99" t="e">
        <f t="shared" si="21"/>
        <v>#VALUE!</v>
      </c>
      <c r="U83" s="99" t="e">
        <f t="shared" si="22"/>
        <v>#VALUE!</v>
      </c>
      <c r="AH83" s="114"/>
      <c r="AI83" s="114"/>
      <c r="AJ83" s="114"/>
      <c r="AK83" s="115"/>
    </row>
    <row r="84" spans="1:37" ht="15">
      <c r="A84">
        <v>18163</v>
      </c>
      <c r="B84" s="148">
        <v>43434</v>
      </c>
      <c r="C84" t="s">
        <v>361</v>
      </c>
      <c r="D84" t="s">
        <v>316</v>
      </c>
      <c r="E84" t="s">
        <v>362</v>
      </c>
      <c r="F84">
        <v>21446</v>
      </c>
      <c r="G84" t="s">
        <v>361</v>
      </c>
      <c r="H84">
        <v>94.510002136230469</v>
      </c>
      <c r="I84">
        <v>6.5742015838623047E-2</v>
      </c>
      <c r="J84">
        <v>1.851214E-2</v>
      </c>
      <c r="K84">
        <v>6.5649429999999997E-4</v>
      </c>
      <c r="L84">
        <v>1.7859380000000001E-2</v>
      </c>
      <c r="M84" s="23">
        <f t="shared" si="14"/>
        <v>43434</v>
      </c>
      <c r="N84" s="99" t="e">
        <f t="shared" si="15"/>
        <v>#VALUE!</v>
      </c>
      <c r="O84" s="99" t="e">
        <f t="shared" si="16"/>
        <v>#VALUE!</v>
      </c>
      <c r="P84" s="99" t="e">
        <f t="shared" si="17"/>
        <v>#VALUE!</v>
      </c>
      <c r="Q84" s="99" t="e">
        <f t="shared" si="18"/>
        <v>#VALUE!</v>
      </c>
      <c r="R84" s="99" t="e">
        <f t="shared" si="19"/>
        <v>#VALUE!</v>
      </c>
      <c r="S84" s="99" t="e">
        <f t="shared" si="20"/>
        <v>#VALUE!</v>
      </c>
      <c r="T84" s="99" t="e">
        <f t="shared" si="21"/>
        <v>#VALUE!</v>
      </c>
      <c r="U84" s="99" t="e">
        <f t="shared" si="22"/>
        <v>#VALUE!</v>
      </c>
      <c r="AH84" s="114"/>
      <c r="AI84" s="114"/>
      <c r="AJ84" s="114"/>
      <c r="AK84" s="115"/>
    </row>
    <row r="85" spans="1:37" ht="15">
      <c r="A85">
        <v>18163</v>
      </c>
      <c r="B85" s="148">
        <v>43465</v>
      </c>
      <c r="C85" t="s">
        <v>361</v>
      </c>
      <c r="D85" t="s">
        <v>316</v>
      </c>
      <c r="E85" t="s">
        <v>362</v>
      </c>
      <c r="F85">
        <v>21446</v>
      </c>
      <c r="G85" t="s">
        <v>361</v>
      </c>
      <c r="H85">
        <v>91.919998168945313</v>
      </c>
      <c r="I85">
        <v>-2.7404548600316048E-2</v>
      </c>
      <c r="J85">
        <v>-8.9890060000000008E-2</v>
      </c>
      <c r="K85">
        <v>-9.9321050000000008E-2</v>
      </c>
      <c r="L85">
        <v>-9.1776949999999996E-2</v>
      </c>
      <c r="M85" s="23">
        <f t="shared" si="14"/>
        <v>43465</v>
      </c>
      <c r="N85" s="99" t="e">
        <f t="shared" si="15"/>
        <v>#VALUE!</v>
      </c>
      <c r="O85" s="99" t="e">
        <f t="shared" si="16"/>
        <v>#VALUE!</v>
      </c>
      <c r="P85" s="99" t="e">
        <f t="shared" si="17"/>
        <v>#VALUE!</v>
      </c>
      <c r="Q85" s="99" t="e">
        <f t="shared" si="18"/>
        <v>#VALUE!</v>
      </c>
      <c r="R85" s="99" t="e">
        <f t="shared" si="19"/>
        <v>#VALUE!</v>
      </c>
      <c r="S85" s="99" t="e">
        <f t="shared" si="20"/>
        <v>#VALUE!</v>
      </c>
      <c r="T85" s="99" t="e">
        <f t="shared" si="21"/>
        <v>#VALUE!</v>
      </c>
      <c r="U85" s="99" t="e">
        <f t="shared" si="22"/>
        <v>#VALUE!</v>
      </c>
      <c r="AH85" s="114"/>
      <c r="AI85" s="114"/>
      <c r="AJ85" s="114"/>
      <c r="AK85" s="115"/>
    </row>
    <row r="86" spans="1:37" ht="15">
      <c r="A86">
        <v>18163</v>
      </c>
      <c r="B86" s="148">
        <v>43496</v>
      </c>
      <c r="C86" t="s">
        <v>361</v>
      </c>
      <c r="D86" t="s">
        <v>316</v>
      </c>
      <c r="E86" t="s">
        <v>362</v>
      </c>
      <c r="F86">
        <v>21446</v>
      </c>
      <c r="G86" t="s">
        <v>361</v>
      </c>
      <c r="H86">
        <v>96.470001220703125</v>
      </c>
      <c r="I86">
        <v>5.7302035391330719E-2</v>
      </c>
      <c r="J86">
        <v>8.8293910000000003E-2</v>
      </c>
      <c r="K86">
        <v>0.1202603</v>
      </c>
      <c r="L86">
        <v>7.8684400000000002E-2</v>
      </c>
      <c r="M86" s="23">
        <f t="shared" si="14"/>
        <v>43496</v>
      </c>
      <c r="N86" s="99" t="e">
        <f t="shared" si="15"/>
        <v>#VALUE!</v>
      </c>
      <c r="O86" s="99" t="e">
        <f t="shared" si="16"/>
        <v>#VALUE!</v>
      </c>
      <c r="P86" s="99" t="e">
        <f t="shared" si="17"/>
        <v>#VALUE!</v>
      </c>
      <c r="Q86" s="99" t="e">
        <f t="shared" si="18"/>
        <v>#VALUE!</v>
      </c>
      <c r="R86" s="99" t="e">
        <f t="shared" si="19"/>
        <v>#VALUE!</v>
      </c>
      <c r="S86" s="99" t="e">
        <f t="shared" si="20"/>
        <v>#VALUE!</v>
      </c>
      <c r="T86" s="99" t="e">
        <f t="shared" si="21"/>
        <v>#VALUE!</v>
      </c>
      <c r="U86" s="99" t="e">
        <f t="shared" si="22"/>
        <v>#VALUE!</v>
      </c>
      <c r="AH86" s="114"/>
      <c r="AI86" s="114"/>
      <c r="AJ86" s="114"/>
      <c r="AK86" s="115"/>
    </row>
    <row r="87" spans="1:37" ht="15">
      <c r="A87">
        <v>18163</v>
      </c>
      <c r="B87" s="148">
        <v>43524</v>
      </c>
      <c r="C87" t="s">
        <v>361</v>
      </c>
      <c r="D87" t="s">
        <v>316</v>
      </c>
      <c r="E87" t="s">
        <v>362</v>
      </c>
      <c r="F87">
        <v>21446</v>
      </c>
      <c r="G87" t="s">
        <v>361</v>
      </c>
      <c r="H87">
        <v>98.550003051757813</v>
      </c>
      <c r="I87">
        <v>2.1561125293374062E-2</v>
      </c>
      <c r="J87">
        <v>3.2724210000000004E-2</v>
      </c>
      <c r="K87">
        <v>3.8571649999999999E-2</v>
      </c>
      <c r="L87">
        <v>2.9728930000000001E-2</v>
      </c>
      <c r="M87" s="23">
        <f t="shared" si="14"/>
        <v>43524</v>
      </c>
      <c r="N87" s="99" t="e">
        <f t="shared" si="15"/>
        <v>#VALUE!</v>
      </c>
      <c r="O87" s="99" t="e">
        <f t="shared" si="16"/>
        <v>#VALUE!</v>
      </c>
      <c r="P87" s="99" t="e">
        <f t="shared" si="17"/>
        <v>#VALUE!</v>
      </c>
      <c r="Q87" s="99" t="e">
        <f t="shared" si="18"/>
        <v>#VALUE!</v>
      </c>
      <c r="R87" s="99" t="e">
        <f t="shared" si="19"/>
        <v>#VALUE!</v>
      </c>
      <c r="S87" s="99" t="e">
        <f t="shared" si="20"/>
        <v>#VALUE!</v>
      </c>
      <c r="T87" s="99" t="e">
        <f t="shared" si="21"/>
        <v>#VALUE!</v>
      </c>
      <c r="U87" s="99" t="e">
        <f t="shared" si="22"/>
        <v>#VALUE!</v>
      </c>
      <c r="AH87" s="114"/>
      <c r="AI87" s="114"/>
      <c r="AJ87" s="114"/>
      <c r="AK87" s="115"/>
    </row>
    <row r="88" spans="1:37" ht="15">
      <c r="A88">
        <v>18163</v>
      </c>
      <c r="B88" s="148">
        <v>43553</v>
      </c>
      <c r="C88" t="s">
        <v>361</v>
      </c>
      <c r="D88" t="s">
        <v>316</v>
      </c>
      <c r="E88" t="s">
        <v>362</v>
      </c>
      <c r="F88">
        <v>21446</v>
      </c>
      <c r="G88" t="s">
        <v>361</v>
      </c>
      <c r="H88">
        <v>104.05000305175781</v>
      </c>
      <c r="I88">
        <v>5.5809233337640762E-2</v>
      </c>
      <c r="J88">
        <v>1.296229E-2</v>
      </c>
      <c r="K88">
        <v>-3.9077920000000002E-3</v>
      </c>
      <c r="L88">
        <v>1.7924289999999999E-2</v>
      </c>
      <c r="M88" s="23">
        <f t="shared" si="14"/>
        <v>43553</v>
      </c>
      <c r="N88" s="99" t="e">
        <f t="shared" si="15"/>
        <v>#VALUE!</v>
      </c>
      <c r="O88" s="99" t="e">
        <f t="shared" si="16"/>
        <v>#VALUE!</v>
      </c>
      <c r="P88" s="99" t="e">
        <f t="shared" si="17"/>
        <v>#VALUE!</v>
      </c>
      <c r="Q88" s="99" t="e">
        <f t="shared" si="18"/>
        <v>#VALUE!</v>
      </c>
      <c r="R88" s="99" t="e">
        <f t="shared" si="19"/>
        <v>#VALUE!</v>
      </c>
      <c r="S88" s="99" t="e">
        <f t="shared" si="20"/>
        <v>#VALUE!</v>
      </c>
      <c r="T88" s="99" t="e">
        <f t="shared" si="21"/>
        <v>#VALUE!</v>
      </c>
      <c r="U88" s="99" t="e">
        <f t="shared" si="22"/>
        <v>#VALUE!</v>
      </c>
      <c r="AH88" s="114"/>
      <c r="AI88" s="114"/>
      <c r="AJ88" s="114"/>
      <c r="AK88" s="115"/>
    </row>
    <row r="89" spans="1:37" ht="15">
      <c r="A89">
        <v>18163</v>
      </c>
      <c r="B89" s="148">
        <v>43585</v>
      </c>
      <c r="C89" t="s">
        <v>361</v>
      </c>
      <c r="D89" t="s">
        <v>316</v>
      </c>
      <c r="E89" t="s">
        <v>362</v>
      </c>
      <c r="F89">
        <v>21446</v>
      </c>
      <c r="G89" t="s">
        <v>361</v>
      </c>
      <c r="H89">
        <v>106.48000335693359</v>
      </c>
      <c r="I89">
        <v>3.0522827059030533E-2</v>
      </c>
      <c r="J89">
        <v>3.789327E-2</v>
      </c>
      <c r="K89">
        <v>2.0354650000000002E-2</v>
      </c>
      <c r="L89">
        <v>3.9313439999999998E-2</v>
      </c>
      <c r="M89" s="23">
        <f t="shared" si="14"/>
        <v>43585</v>
      </c>
      <c r="N89" s="99" t="e">
        <f t="shared" si="15"/>
        <v>#VALUE!</v>
      </c>
      <c r="O89" s="99" t="e">
        <f t="shared" si="16"/>
        <v>#VALUE!</v>
      </c>
      <c r="P89" s="99" t="e">
        <f t="shared" si="17"/>
        <v>#VALUE!</v>
      </c>
      <c r="Q89" s="99" t="e">
        <f t="shared" si="18"/>
        <v>#VALUE!</v>
      </c>
      <c r="R89" s="99" t="e">
        <f t="shared" si="19"/>
        <v>#VALUE!</v>
      </c>
      <c r="S89" s="99" t="e">
        <f t="shared" si="20"/>
        <v>#VALUE!</v>
      </c>
      <c r="T89" s="99" t="e">
        <f t="shared" si="21"/>
        <v>#VALUE!</v>
      </c>
      <c r="U89" s="99" t="e">
        <f t="shared" si="22"/>
        <v>#VALUE!</v>
      </c>
      <c r="AH89" s="114"/>
      <c r="AI89" s="114"/>
      <c r="AJ89" s="114"/>
      <c r="AK89" s="115"/>
    </row>
    <row r="90" spans="1:37" ht="15">
      <c r="A90">
        <v>18163</v>
      </c>
      <c r="B90" s="148">
        <v>43616</v>
      </c>
      <c r="C90" t="s">
        <v>361</v>
      </c>
      <c r="D90" t="s">
        <v>316</v>
      </c>
      <c r="E90" t="s">
        <v>362</v>
      </c>
      <c r="F90">
        <v>21446</v>
      </c>
      <c r="G90" t="s">
        <v>361</v>
      </c>
      <c r="H90">
        <v>102.91000366210938</v>
      </c>
      <c r="I90">
        <v>-3.3527418971061707E-2</v>
      </c>
      <c r="J90">
        <v>-6.167856E-2</v>
      </c>
      <c r="K90">
        <v>-6.4571440000000008E-2</v>
      </c>
      <c r="L90">
        <v>-6.5777730000000006E-2</v>
      </c>
      <c r="M90" s="23">
        <f t="shared" si="14"/>
        <v>43616</v>
      </c>
      <c r="N90" s="99" t="e">
        <f t="shared" si="15"/>
        <v>#VALUE!</v>
      </c>
      <c r="O90" s="99" t="e">
        <f t="shared" si="16"/>
        <v>#VALUE!</v>
      </c>
      <c r="P90" s="99" t="e">
        <f t="shared" si="17"/>
        <v>#VALUE!</v>
      </c>
      <c r="Q90" s="99" t="e">
        <f t="shared" si="18"/>
        <v>#VALUE!</v>
      </c>
      <c r="R90" s="99" t="e">
        <f t="shared" si="19"/>
        <v>#VALUE!</v>
      </c>
      <c r="S90" s="99" t="e">
        <f t="shared" si="20"/>
        <v>#VALUE!</v>
      </c>
      <c r="T90" s="99" t="e">
        <f t="shared" si="21"/>
        <v>#VALUE!</v>
      </c>
      <c r="U90" s="99" t="e">
        <f t="shared" si="22"/>
        <v>#VALUE!</v>
      </c>
      <c r="AH90" s="114"/>
      <c r="AI90" s="114"/>
      <c r="AJ90" s="114"/>
      <c r="AK90" s="115"/>
    </row>
    <row r="91" spans="1:37" ht="15">
      <c r="A91">
        <v>18163</v>
      </c>
      <c r="B91" s="148">
        <v>43644</v>
      </c>
      <c r="C91" t="s">
        <v>361</v>
      </c>
      <c r="D91" t="s">
        <v>316</v>
      </c>
      <c r="E91" t="s">
        <v>362</v>
      </c>
      <c r="F91">
        <v>21446</v>
      </c>
      <c r="G91" t="s">
        <v>361</v>
      </c>
      <c r="H91">
        <v>109.65000152587891</v>
      </c>
      <c r="I91">
        <v>6.5494097769260406E-2</v>
      </c>
      <c r="J91">
        <v>6.7278859999999996E-2</v>
      </c>
      <c r="K91">
        <v>4.9001820000000001E-2</v>
      </c>
      <c r="L91">
        <v>6.8930190000000002E-2</v>
      </c>
      <c r="M91" s="23">
        <f t="shared" si="14"/>
        <v>43644</v>
      </c>
      <c r="N91" s="99" t="e">
        <f t="shared" si="15"/>
        <v>#VALUE!</v>
      </c>
      <c r="O91" s="99" t="e">
        <f t="shared" si="16"/>
        <v>#VALUE!</v>
      </c>
      <c r="P91" s="99" t="e">
        <f t="shared" si="17"/>
        <v>#VALUE!</v>
      </c>
      <c r="Q91" s="99" t="e">
        <f t="shared" si="18"/>
        <v>#VALUE!</v>
      </c>
      <c r="R91" s="99" t="e">
        <f t="shared" si="19"/>
        <v>#VALUE!</v>
      </c>
      <c r="S91" s="99" t="e">
        <f t="shared" si="20"/>
        <v>#VALUE!</v>
      </c>
      <c r="T91" s="99" t="e">
        <f t="shared" si="21"/>
        <v>#VALUE!</v>
      </c>
      <c r="U91" s="99" t="e">
        <f t="shared" si="22"/>
        <v>#VALUE!</v>
      </c>
      <c r="AH91" s="114"/>
      <c r="AI91" s="114"/>
      <c r="AJ91" s="114"/>
      <c r="AK91" s="115"/>
    </row>
    <row r="92" spans="1:37" ht="15">
      <c r="A92">
        <v>18163</v>
      </c>
      <c r="B92" s="148">
        <v>43677</v>
      </c>
      <c r="C92" t="s">
        <v>361</v>
      </c>
      <c r="D92" t="s">
        <v>316</v>
      </c>
      <c r="E92" t="s">
        <v>362</v>
      </c>
      <c r="F92">
        <v>21446</v>
      </c>
      <c r="G92" t="s">
        <v>361</v>
      </c>
      <c r="H92">
        <v>118.04000091552734</v>
      </c>
      <c r="I92">
        <v>8.3318732678890228E-2</v>
      </c>
      <c r="J92">
        <v>1.1854390000000001E-2</v>
      </c>
      <c r="K92">
        <v>-5.2448700000000004E-3</v>
      </c>
      <c r="L92">
        <v>1.312819E-2</v>
      </c>
      <c r="M92" s="23">
        <f t="shared" si="14"/>
        <v>43677</v>
      </c>
      <c r="N92" s="99" t="e">
        <f t="shared" si="15"/>
        <v>#VALUE!</v>
      </c>
      <c r="O92" s="99" t="e">
        <f t="shared" si="16"/>
        <v>#VALUE!</v>
      </c>
      <c r="P92" s="99" t="e">
        <f t="shared" si="17"/>
        <v>#VALUE!</v>
      </c>
      <c r="Q92" s="99" t="e">
        <f t="shared" si="18"/>
        <v>#VALUE!</v>
      </c>
      <c r="R92" s="99" t="e">
        <f t="shared" si="19"/>
        <v>#VALUE!</v>
      </c>
      <c r="S92" s="99" t="e">
        <f t="shared" si="20"/>
        <v>#VALUE!</v>
      </c>
      <c r="T92" s="99" t="e">
        <f t="shared" si="21"/>
        <v>#VALUE!</v>
      </c>
      <c r="U92" s="99" t="e">
        <f t="shared" si="22"/>
        <v>#VALUE!</v>
      </c>
      <c r="AH92" s="114"/>
      <c r="AI92" s="114"/>
      <c r="AJ92" s="114"/>
      <c r="AK92" s="115"/>
    </row>
    <row r="93" spans="1:37" ht="15">
      <c r="A93">
        <v>18163</v>
      </c>
      <c r="B93" s="148">
        <v>43707</v>
      </c>
      <c r="C93" t="s">
        <v>361</v>
      </c>
      <c r="D93" t="s">
        <v>316</v>
      </c>
      <c r="E93" t="s">
        <v>362</v>
      </c>
      <c r="F93">
        <v>21446</v>
      </c>
      <c r="G93" t="s">
        <v>361</v>
      </c>
      <c r="H93">
        <v>120.23000335693359</v>
      </c>
      <c r="I93">
        <v>1.8553053960204124E-2</v>
      </c>
      <c r="J93">
        <v>-2.0339360000000001E-2</v>
      </c>
      <c r="K93">
        <v>-4.0001170000000003E-2</v>
      </c>
      <c r="L93">
        <v>-1.8091650000000001E-2</v>
      </c>
      <c r="M93" s="23">
        <f t="shared" si="14"/>
        <v>43707</v>
      </c>
      <c r="N93" s="99" t="e">
        <f t="shared" si="15"/>
        <v>#VALUE!</v>
      </c>
      <c r="O93" s="99" t="e">
        <f t="shared" si="16"/>
        <v>#VALUE!</v>
      </c>
      <c r="P93" s="99" t="e">
        <f t="shared" si="17"/>
        <v>#VALUE!</v>
      </c>
      <c r="Q93" s="99" t="e">
        <f t="shared" si="18"/>
        <v>#VALUE!</v>
      </c>
      <c r="R93" s="99" t="e">
        <f t="shared" si="19"/>
        <v>#VALUE!</v>
      </c>
      <c r="S93" s="99" t="e">
        <f t="shared" si="20"/>
        <v>#VALUE!</v>
      </c>
      <c r="T93" s="99" t="e">
        <f t="shared" si="21"/>
        <v>#VALUE!</v>
      </c>
      <c r="U93" s="99" t="e">
        <f t="shared" si="22"/>
        <v>#VALUE!</v>
      </c>
      <c r="AH93" s="114"/>
      <c r="AI93" s="114"/>
      <c r="AJ93" s="114"/>
      <c r="AK93" s="115"/>
    </row>
    <row r="94" spans="1:37" ht="15">
      <c r="A94">
        <v>18163</v>
      </c>
      <c r="B94" s="148">
        <v>43738</v>
      </c>
      <c r="C94" t="s">
        <v>361</v>
      </c>
      <c r="D94" t="s">
        <v>316</v>
      </c>
      <c r="E94" t="s">
        <v>362</v>
      </c>
      <c r="F94">
        <v>21446</v>
      </c>
      <c r="G94" t="s">
        <v>361</v>
      </c>
      <c r="H94">
        <v>124.37999725341797</v>
      </c>
      <c r="I94">
        <v>3.451712429523468E-2</v>
      </c>
      <c r="J94">
        <v>1.6033040000000002E-2</v>
      </c>
      <c r="K94">
        <v>1.7680700000000001E-2</v>
      </c>
      <c r="L94">
        <v>1.7181169999999999E-2</v>
      </c>
      <c r="M94" s="23">
        <f t="shared" si="14"/>
        <v>43738</v>
      </c>
      <c r="N94" s="99" t="e">
        <f t="shared" si="15"/>
        <v>#VALUE!</v>
      </c>
      <c r="O94" s="99" t="e">
        <f t="shared" si="16"/>
        <v>#VALUE!</v>
      </c>
      <c r="P94" s="99" t="e">
        <f t="shared" si="17"/>
        <v>#VALUE!</v>
      </c>
      <c r="Q94" s="99" t="e">
        <f t="shared" si="18"/>
        <v>#VALUE!</v>
      </c>
      <c r="R94" s="99" t="e">
        <f t="shared" si="19"/>
        <v>#VALUE!</v>
      </c>
      <c r="S94" s="99" t="e">
        <f t="shared" si="20"/>
        <v>#VALUE!</v>
      </c>
      <c r="T94" s="99" t="e">
        <f t="shared" si="21"/>
        <v>#VALUE!</v>
      </c>
      <c r="U94" s="99" t="e">
        <f t="shared" si="22"/>
        <v>#VALUE!</v>
      </c>
      <c r="AH94" s="114"/>
      <c r="AI94" s="114"/>
      <c r="AJ94" s="114"/>
      <c r="AK94" s="115"/>
    </row>
    <row r="95" spans="1:37" ht="15">
      <c r="A95">
        <v>18163</v>
      </c>
      <c r="B95" s="148">
        <v>43769</v>
      </c>
      <c r="C95" t="s">
        <v>361</v>
      </c>
      <c r="D95" t="s">
        <v>316</v>
      </c>
      <c r="E95" t="s">
        <v>362</v>
      </c>
      <c r="F95">
        <v>21446</v>
      </c>
      <c r="G95" t="s">
        <v>361</v>
      </c>
      <c r="H95">
        <v>124.51000213623047</v>
      </c>
      <c r="I95">
        <v>7.0421681739389896E-3</v>
      </c>
      <c r="J95">
        <v>1.9257090000000001E-2</v>
      </c>
      <c r="K95">
        <v>6.2907860000000005E-3</v>
      </c>
      <c r="L95">
        <v>2.0431750000000002E-2</v>
      </c>
      <c r="M95" s="23">
        <f t="shared" si="14"/>
        <v>43769</v>
      </c>
      <c r="N95" s="99" t="e">
        <f t="shared" si="15"/>
        <v>#VALUE!</v>
      </c>
      <c r="O95" s="99" t="e">
        <f t="shared" si="16"/>
        <v>#VALUE!</v>
      </c>
      <c r="P95" s="99" t="e">
        <f t="shared" si="17"/>
        <v>#VALUE!</v>
      </c>
      <c r="Q95" s="99" t="e">
        <f t="shared" si="18"/>
        <v>#VALUE!</v>
      </c>
      <c r="R95" s="99" t="e">
        <f t="shared" si="19"/>
        <v>#VALUE!</v>
      </c>
      <c r="S95" s="99" t="e">
        <f t="shared" si="20"/>
        <v>#VALUE!</v>
      </c>
      <c r="T95" s="99" t="e">
        <f t="shared" si="21"/>
        <v>#VALUE!</v>
      </c>
      <c r="U95" s="99" t="e">
        <f t="shared" si="22"/>
        <v>#VALUE!</v>
      </c>
      <c r="AH95" s="114"/>
      <c r="AI95" s="114"/>
      <c r="AJ95" s="114"/>
      <c r="AK95" s="115"/>
    </row>
    <row r="96" spans="1:37" ht="15">
      <c r="A96">
        <v>18163</v>
      </c>
      <c r="B96" s="148">
        <v>43798</v>
      </c>
      <c r="C96" t="s">
        <v>361</v>
      </c>
      <c r="D96" t="s">
        <v>316</v>
      </c>
      <c r="E96" t="s">
        <v>362</v>
      </c>
      <c r="F96">
        <v>21446</v>
      </c>
      <c r="G96" t="s">
        <v>361</v>
      </c>
      <c r="H96">
        <v>122.05999755859375</v>
      </c>
      <c r="I96">
        <v>-1.9677171483635902E-2</v>
      </c>
      <c r="J96">
        <v>3.4999010000000004E-2</v>
      </c>
      <c r="K96">
        <v>2.6600809999999999E-2</v>
      </c>
      <c r="L96">
        <v>3.4047060000000004E-2</v>
      </c>
      <c r="M96" s="23">
        <f t="shared" si="14"/>
        <v>43798</v>
      </c>
      <c r="N96" s="99" t="e">
        <f t="shared" si="15"/>
        <v>#VALUE!</v>
      </c>
      <c r="O96" s="99" t="e">
        <f t="shared" si="16"/>
        <v>#VALUE!</v>
      </c>
      <c r="P96" s="99" t="e">
        <f t="shared" si="17"/>
        <v>#VALUE!</v>
      </c>
      <c r="Q96" s="99" t="e">
        <f t="shared" si="18"/>
        <v>#VALUE!</v>
      </c>
      <c r="R96" s="99" t="e">
        <f t="shared" si="19"/>
        <v>#VALUE!</v>
      </c>
      <c r="S96" s="99" t="e">
        <f t="shared" si="20"/>
        <v>#VALUE!</v>
      </c>
      <c r="T96" s="99" t="e">
        <f t="shared" si="21"/>
        <v>#VALUE!</v>
      </c>
      <c r="U96" s="99" t="e">
        <f t="shared" si="22"/>
        <v>#VALUE!</v>
      </c>
      <c r="AH96" s="114"/>
      <c r="AI96" s="114"/>
      <c r="AJ96" s="114"/>
      <c r="AK96" s="115"/>
    </row>
    <row r="97" spans="1:37" ht="15">
      <c r="A97">
        <v>18163</v>
      </c>
      <c r="B97" s="148">
        <v>43830</v>
      </c>
      <c r="C97" t="s">
        <v>361</v>
      </c>
      <c r="D97" t="s">
        <v>316</v>
      </c>
      <c r="E97" t="s">
        <v>362</v>
      </c>
      <c r="F97">
        <v>21446</v>
      </c>
      <c r="G97" t="s">
        <v>361</v>
      </c>
      <c r="H97">
        <v>124.90000152587891</v>
      </c>
      <c r="I97">
        <v>2.3267278447747231E-2</v>
      </c>
      <c r="J97">
        <v>2.8488780000000002E-2</v>
      </c>
      <c r="K97">
        <v>4.4379330000000002E-2</v>
      </c>
      <c r="L97">
        <v>2.8589800000000002E-2</v>
      </c>
      <c r="M97" s="23">
        <f t="shared" si="14"/>
        <v>43830</v>
      </c>
      <c r="N97" s="99" t="e">
        <f t="shared" si="15"/>
        <v>#VALUE!</v>
      </c>
      <c r="O97" s="99" t="e">
        <f t="shared" si="16"/>
        <v>#VALUE!</v>
      </c>
      <c r="P97" s="99" t="e">
        <f t="shared" si="17"/>
        <v>#VALUE!</v>
      </c>
      <c r="Q97" s="99" t="e">
        <f t="shared" si="18"/>
        <v>#VALUE!</v>
      </c>
      <c r="R97" s="99" t="e">
        <f t="shared" si="19"/>
        <v>#VALUE!</v>
      </c>
      <c r="S97" s="99" t="e">
        <f t="shared" si="20"/>
        <v>#VALUE!</v>
      </c>
      <c r="T97" s="99" t="e">
        <f t="shared" si="21"/>
        <v>#VALUE!</v>
      </c>
      <c r="U97" s="99" t="e">
        <f t="shared" si="22"/>
        <v>#VALUE!</v>
      </c>
      <c r="AH97" s="114"/>
      <c r="AI97" s="114"/>
      <c r="AJ97" s="114"/>
      <c r="AK97" s="115"/>
    </row>
    <row r="98" spans="1:37" ht="15">
      <c r="A98">
        <v>18163</v>
      </c>
      <c r="B98" s="148">
        <v>43861</v>
      </c>
      <c r="C98" t="s">
        <v>361</v>
      </c>
      <c r="D98" t="s">
        <v>316</v>
      </c>
      <c r="E98" t="s">
        <v>362</v>
      </c>
      <c r="F98">
        <v>21446</v>
      </c>
      <c r="G98" t="s">
        <v>361</v>
      </c>
      <c r="H98">
        <v>124.62000274658203</v>
      </c>
      <c r="I98">
        <v>3.7301937118172646E-3</v>
      </c>
      <c r="J98">
        <v>-1.727854E-3</v>
      </c>
      <c r="K98">
        <v>-1.3333640000000001E-2</v>
      </c>
      <c r="L98">
        <v>-1.62809E-3</v>
      </c>
      <c r="M98" s="23">
        <f t="shared" si="14"/>
        <v>43861</v>
      </c>
      <c r="N98" s="99" t="e">
        <f t="shared" si="15"/>
        <v>#VALUE!</v>
      </c>
      <c r="O98" s="99" t="e">
        <f t="shared" si="16"/>
        <v>#VALUE!</v>
      </c>
      <c r="P98" s="99" t="e">
        <f t="shared" si="17"/>
        <v>#VALUE!</v>
      </c>
      <c r="Q98" s="99" t="e">
        <f t="shared" si="18"/>
        <v>#VALUE!</v>
      </c>
      <c r="R98" s="99" t="e">
        <f t="shared" si="19"/>
        <v>#VALUE!</v>
      </c>
      <c r="S98" s="99" t="e">
        <f t="shared" si="20"/>
        <v>#VALUE!</v>
      </c>
      <c r="T98" s="99" t="e">
        <f t="shared" si="21"/>
        <v>#VALUE!</v>
      </c>
      <c r="U98" s="99" t="e">
        <f t="shared" si="22"/>
        <v>#VALUE!</v>
      </c>
      <c r="AH98" s="114"/>
      <c r="AI98" s="114"/>
      <c r="AJ98" s="114"/>
      <c r="AK98" s="115"/>
    </row>
    <row r="99" spans="1:37" ht="15">
      <c r="A99">
        <v>18163</v>
      </c>
      <c r="B99" s="148">
        <v>43889</v>
      </c>
      <c r="C99" t="s">
        <v>361</v>
      </c>
      <c r="D99" t="s">
        <v>316</v>
      </c>
      <c r="E99" t="s">
        <v>362</v>
      </c>
      <c r="F99">
        <v>21446</v>
      </c>
      <c r="G99" t="s">
        <v>361</v>
      </c>
      <c r="H99">
        <v>113.23000335693359</v>
      </c>
      <c r="I99">
        <v>-9.1397844254970551E-2</v>
      </c>
      <c r="J99">
        <v>-7.7917990000000006E-2</v>
      </c>
      <c r="K99">
        <v>-6.9814470000000003E-2</v>
      </c>
      <c r="L99">
        <v>-8.4110470000000007E-2</v>
      </c>
      <c r="M99" s="23">
        <f t="shared" si="14"/>
        <v>43889</v>
      </c>
      <c r="N99" s="99" t="e">
        <f t="shared" si="15"/>
        <v>#VALUE!</v>
      </c>
      <c r="O99" s="99" t="e">
        <f t="shared" si="16"/>
        <v>#VALUE!</v>
      </c>
      <c r="P99" s="99" t="e">
        <f t="shared" si="17"/>
        <v>#VALUE!</v>
      </c>
      <c r="Q99" s="99" t="e">
        <f t="shared" si="18"/>
        <v>#VALUE!</v>
      </c>
      <c r="R99" s="99" t="e">
        <f t="shared" si="19"/>
        <v>#VALUE!</v>
      </c>
      <c r="S99" s="99" t="e">
        <f t="shared" si="20"/>
        <v>#VALUE!</v>
      </c>
      <c r="T99" s="99" t="e">
        <f t="shared" si="21"/>
        <v>#VALUE!</v>
      </c>
      <c r="U99" s="99" t="e">
        <f t="shared" si="22"/>
        <v>#VALUE!</v>
      </c>
      <c r="AH99" s="114"/>
      <c r="AI99" s="114"/>
      <c r="AJ99" s="114"/>
      <c r="AK99" s="115"/>
    </row>
    <row r="100" spans="1:37" ht="15">
      <c r="A100">
        <v>18163</v>
      </c>
      <c r="B100" s="148">
        <v>43921</v>
      </c>
      <c r="C100" t="s">
        <v>361</v>
      </c>
      <c r="D100" t="s">
        <v>316</v>
      </c>
      <c r="E100" t="s">
        <v>362</v>
      </c>
      <c r="F100">
        <v>21446</v>
      </c>
      <c r="G100" t="s">
        <v>361</v>
      </c>
      <c r="H100">
        <v>110</v>
      </c>
      <c r="I100">
        <v>-2.8526037931442261E-2</v>
      </c>
      <c r="J100">
        <v>-0.14173269999999999</v>
      </c>
      <c r="K100">
        <v>-0.20750269999999998</v>
      </c>
      <c r="L100">
        <v>-0.12511929999999999</v>
      </c>
      <c r="M100" s="23">
        <f t="shared" si="14"/>
        <v>43921</v>
      </c>
      <c r="N100" s="99" t="e">
        <f t="shared" si="15"/>
        <v>#VALUE!</v>
      </c>
      <c r="O100" s="99" t="e">
        <f t="shared" si="16"/>
        <v>#VALUE!</v>
      </c>
      <c r="P100" s="99" t="e">
        <f t="shared" si="17"/>
        <v>#VALUE!</v>
      </c>
      <c r="Q100" s="99" t="e">
        <f t="shared" si="18"/>
        <v>#VALUE!</v>
      </c>
      <c r="R100" s="99" t="e">
        <f t="shared" si="19"/>
        <v>#VALUE!</v>
      </c>
      <c r="S100" s="99" t="e">
        <f t="shared" si="20"/>
        <v>#VALUE!</v>
      </c>
      <c r="T100" s="99" t="e">
        <f t="shared" si="21"/>
        <v>#VALUE!</v>
      </c>
      <c r="U100" s="99" t="e">
        <f t="shared" si="22"/>
        <v>#VALUE!</v>
      </c>
      <c r="AH100" s="114"/>
      <c r="AI100" s="114"/>
      <c r="AJ100" s="114"/>
      <c r="AK100" s="115"/>
    </row>
    <row r="101" spans="1:37" ht="15">
      <c r="A101">
        <v>18163</v>
      </c>
      <c r="B101" s="148">
        <v>43951</v>
      </c>
      <c r="C101" t="s">
        <v>361</v>
      </c>
      <c r="D101" t="s">
        <v>316</v>
      </c>
      <c r="E101" t="s">
        <v>362</v>
      </c>
      <c r="F101">
        <v>21446</v>
      </c>
      <c r="G101" t="s">
        <v>361</v>
      </c>
      <c r="H101">
        <v>117.87000274658203</v>
      </c>
      <c r="I101">
        <v>7.8733660280704498E-2</v>
      </c>
      <c r="J101">
        <v>0.12967380000000001</v>
      </c>
      <c r="K101">
        <v>0.15386749999999999</v>
      </c>
      <c r="L101">
        <v>0.12684409999999999</v>
      </c>
      <c r="M101" s="23">
        <f t="shared" si="14"/>
        <v>43951</v>
      </c>
      <c r="N101" s="99" t="e">
        <f t="shared" si="15"/>
        <v>#VALUE!</v>
      </c>
      <c r="O101" s="99" t="e">
        <f t="shared" si="16"/>
        <v>#VALUE!</v>
      </c>
      <c r="P101" s="99" t="e">
        <f t="shared" si="17"/>
        <v>#VALUE!</v>
      </c>
      <c r="Q101" s="99" t="e">
        <f t="shared" si="18"/>
        <v>#VALUE!</v>
      </c>
      <c r="R101" s="99" t="e">
        <f t="shared" si="19"/>
        <v>#VALUE!</v>
      </c>
      <c r="S101" s="99" t="e">
        <f t="shared" si="20"/>
        <v>#VALUE!</v>
      </c>
      <c r="T101" s="99" t="e">
        <f t="shared" si="21"/>
        <v>#VALUE!</v>
      </c>
      <c r="U101" s="99" t="e">
        <f t="shared" si="22"/>
        <v>#VALUE!</v>
      </c>
      <c r="AH101" s="114"/>
      <c r="AI101" s="114"/>
      <c r="AJ101" s="114"/>
      <c r="AK101" s="115"/>
    </row>
    <row r="102" spans="1:37" ht="15">
      <c r="A102">
        <v>18163</v>
      </c>
      <c r="B102" s="148">
        <v>43980</v>
      </c>
      <c r="C102" t="s">
        <v>361</v>
      </c>
      <c r="D102" t="s">
        <v>316</v>
      </c>
      <c r="E102" t="s">
        <v>362</v>
      </c>
      <c r="F102">
        <v>21446</v>
      </c>
      <c r="G102" t="s">
        <v>361</v>
      </c>
      <c r="H102">
        <v>115.91999816894531</v>
      </c>
      <c r="I102">
        <v>-1.6543688252568245E-2</v>
      </c>
      <c r="J102">
        <v>5.3738750000000002E-2</v>
      </c>
      <c r="K102">
        <v>6.4069500000000001E-2</v>
      </c>
      <c r="L102">
        <v>4.5281780000000001E-2</v>
      </c>
      <c r="M102" s="23">
        <f t="shared" si="14"/>
        <v>43980</v>
      </c>
      <c r="N102" s="99" t="e">
        <f t="shared" si="15"/>
        <v>#VALUE!</v>
      </c>
      <c r="O102" s="99" t="e">
        <f t="shared" si="16"/>
        <v>#VALUE!</v>
      </c>
      <c r="P102" s="99" t="e">
        <f t="shared" si="17"/>
        <v>#VALUE!</v>
      </c>
      <c r="Q102" s="99" t="e">
        <f t="shared" si="18"/>
        <v>#VALUE!</v>
      </c>
      <c r="R102" s="99" t="e">
        <f t="shared" si="19"/>
        <v>#VALUE!</v>
      </c>
      <c r="S102" s="99" t="e">
        <f t="shared" si="20"/>
        <v>#VALUE!</v>
      </c>
      <c r="T102" s="99" t="e">
        <f t="shared" si="21"/>
        <v>#VALUE!</v>
      </c>
      <c r="U102" s="99" t="e">
        <f t="shared" si="22"/>
        <v>#VALUE!</v>
      </c>
      <c r="AH102" s="114"/>
      <c r="AI102" s="114"/>
      <c r="AJ102" s="114"/>
      <c r="AK102" s="115"/>
    </row>
    <row r="103" spans="1:37" ht="15">
      <c r="A103">
        <v>18163</v>
      </c>
      <c r="B103" s="148">
        <v>44012</v>
      </c>
      <c r="C103" t="s">
        <v>361</v>
      </c>
      <c r="D103" t="s">
        <v>316</v>
      </c>
      <c r="E103" t="s">
        <v>362</v>
      </c>
      <c r="F103">
        <v>21446</v>
      </c>
      <c r="G103" t="s">
        <v>361</v>
      </c>
      <c r="H103">
        <v>119.56999969482422</v>
      </c>
      <c r="I103">
        <v>3.1487245112657547E-2</v>
      </c>
      <c r="J103">
        <v>2.529909E-2</v>
      </c>
      <c r="K103">
        <v>5.7391000000000005E-2</v>
      </c>
      <c r="L103">
        <v>1.8388399999999999E-2</v>
      </c>
      <c r="M103" s="23">
        <f t="shared" si="14"/>
        <v>44012</v>
      </c>
      <c r="N103" s="99" t="e">
        <f t="shared" si="15"/>
        <v>#VALUE!</v>
      </c>
      <c r="O103" s="99" t="e">
        <f t="shared" si="16"/>
        <v>#VALUE!</v>
      </c>
      <c r="P103" s="99" t="e">
        <f t="shared" si="17"/>
        <v>#VALUE!</v>
      </c>
      <c r="Q103" s="99" t="e">
        <f t="shared" si="18"/>
        <v>#VALUE!</v>
      </c>
      <c r="R103" s="99" t="e">
        <f t="shared" si="19"/>
        <v>#VALUE!</v>
      </c>
      <c r="S103" s="99" t="e">
        <f t="shared" si="20"/>
        <v>#VALUE!</v>
      </c>
      <c r="T103" s="99" t="e">
        <f t="shared" si="21"/>
        <v>#VALUE!</v>
      </c>
      <c r="U103" s="99" t="e">
        <f t="shared" si="22"/>
        <v>#VALUE!</v>
      </c>
      <c r="AH103" s="114"/>
      <c r="AI103" s="114"/>
      <c r="AJ103" s="114"/>
      <c r="AK103" s="115"/>
    </row>
    <row r="104" spans="1:37" ht="15">
      <c r="A104">
        <v>18163</v>
      </c>
      <c r="B104" s="148">
        <v>44043</v>
      </c>
      <c r="C104" t="s">
        <v>361</v>
      </c>
      <c r="D104" t="s">
        <v>316</v>
      </c>
      <c r="E104" t="s">
        <v>362</v>
      </c>
      <c r="F104">
        <v>21446</v>
      </c>
      <c r="G104" t="s">
        <v>361</v>
      </c>
      <c r="H104">
        <v>131.1199951171875</v>
      </c>
      <c r="I104">
        <v>0.10320895910263062</v>
      </c>
      <c r="J104">
        <v>5.5531490000000003E-2</v>
      </c>
      <c r="K104">
        <v>4.0736519999999998E-2</v>
      </c>
      <c r="L104">
        <v>5.5101299999999999E-2</v>
      </c>
      <c r="M104" s="23">
        <f t="shared" si="14"/>
        <v>44043</v>
      </c>
      <c r="N104" s="99" t="e">
        <f t="shared" si="15"/>
        <v>#VALUE!</v>
      </c>
      <c r="O104" s="99" t="e">
        <f t="shared" si="16"/>
        <v>#VALUE!</v>
      </c>
      <c r="P104" s="99" t="e">
        <f t="shared" si="17"/>
        <v>#VALUE!</v>
      </c>
      <c r="Q104" s="99" t="e">
        <f t="shared" si="18"/>
        <v>#VALUE!</v>
      </c>
      <c r="R104" s="99" t="e">
        <f t="shared" si="19"/>
        <v>#VALUE!</v>
      </c>
      <c r="S104" s="99" t="e">
        <f t="shared" si="20"/>
        <v>#VALUE!</v>
      </c>
      <c r="T104" s="99" t="e">
        <f t="shared" si="21"/>
        <v>#VALUE!</v>
      </c>
      <c r="U104" s="99" t="e">
        <f t="shared" si="22"/>
        <v>#VALUE!</v>
      </c>
      <c r="AH104" s="114"/>
      <c r="AI104" s="114"/>
      <c r="AJ104" s="114"/>
      <c r="AK104" s="115"/>
    </row>
    <row r="105" spans="1:37" ht="15">
      <c r="A105">
        <v>18163</v>
      </c>
      <c r="B105" s="148">
        <v>44074</v>
      </c>
      <c r="C105" t="s">
        <v>361</v>
      </c>
      <c r="D105" t="s">
        <v>316</v>
      </c>
      <c r="E105" t="s">
        <v>362</v>
      </c>
      <c r="F105">
        <v>21446</v>
      </c>
      <c r="G105" t="s">
        <v>361</v>
      </c>
      <c r="H105">
        <v>138.33000183105469</v>
      </c>
      <c r="I105">
        <v>5.4987851530313492E-2</v>
      </c>
      <c r="J105">
        <v>6.8442199999999995E-2</v>
      </c>
      <c r="K105">
        <v>3.8883790000000001E-2</v>
      </c>
      <c r="L105">
        <v>7.0064689999999999E-2</v>
      </c>
      <c r="M105" s="23">
        <f t="shared" si="14"/>
        <v>44074</v>
      </c>
      <c r="N105" s="99" t="e">
        <f t="shared" si="15"/>
        <v>#VALUE!</v>
      </c>
      <c r="O105" s="99" t="e">
        <f t="shared" si="16"/>
        <v>#VALUE!</v>
      </c>
      <c r="P105" s="99" t="e">
        <f t="shared" si="17"/>
        <v>#VALUE!</v>
      </c>
      <c r="Q105" s="99" t="e">
        <f t="shared" si="18"/>
        <v>#VALUE!</v>
      </c>
      <c r="R105" s="99" t="e">
        <f t="shared" si="19"/>
        <v>#VALUE!</v>
      </c>
      <c r="S105" s="99" t="e">
        <f t="shared" si="20"/>
        <v>#VALUE!</v>
      </c>
      <c r="T105" s="99" t="e">
        <f t="shared" si="21"/>
        <v>#VALUE!</v>
      </c>
      <c r="U105" s="99" t="e">
        <f t="shared" si="22"/>
        <v>#VALUE!</v>
      </c>
      <c r="AH105" s="114"/>
      <c r="AI105" s="114"/>
      <c r="AJ105" s="114"/>
      <c r="AK105" s="115"/>
    </row>
    <row r="106" spans="1:37" ht="15">
      <c r="A106">
        <v>18163</v>
      </c>
      <c r="B106" s="148">
        <v>44104</v>
      </c>
      <c r="C106" t="s">
        <v>361</v>
      </c>
      <c r="D106" t="s">
        <v>316</v>
      </c>
      <c r="E106" t="s">
        <v>362</v>
      </c>
      <c r="F106">
        <v>21446</v>
      </c>
      <c r="G106" t="s">
        <v>361</v>
      </c>
      <c r="H106">
        <v>138.99000549316406</v>
      </c>
      <c r="I106">
        <v>4.7712256200611591E-3</v>
      </c>
      <c r="J106">
        <v>-3.5055990000000002E-2</v>
      </c>
      <c r="K106">
        <v>-2.7356479999999999E-2</v>
      </c>
      <c r="L106">
        <v>-3.9227959999999999E-2</v>
      </c>
      <c r="M106" s="23">
        <f t="shared" si="14"/>
        <v>44104</v>
      </c>
      <c r="N106" s="99" t="e">
        <f t="shared" si="15"/>
        <v>#VALUE!</v>
      </c>
      <c r="O106" s="99" t="e">
        <f t="shared" si="16"/>
        <v>#VALUE!</v>
      </c>
      <c r="P106" s="99" t="e">
        <f t="shared" si="17"/>
        <v>#VALUE!</v>
      </c>
      <c r="Q106" s="99" t="e">
        <f t="shared" si="18"/>
        <v>#VALUE!</v>
      </c>
      <c r="R106" s="99" t="e">
        <f t="shared" si="19"/>
        <v>#VALUE!</v>
      </c>
      <c r="S106" s="99" t="e">
        <f t="shared" si="20"/>
        <v>#VALUE!</v>
      </c>
      <c r="T106" s="99" t="e">
        <f t="shared" si="21"/>
        <v>#VALUE!</v>
      </c>
      <c r="U106" s="99" t="e">
        <f t="shared" si="22"/>
        <v>#VALUE!</v>
      </c>
      <c r="AH106" s="114"/>
      <c r="AI106" s="114"/>
      <c r="AJ106" s="114"/>
      <c r="AK106" s="115"/>
    </row>
    <row r="107" spans="1:37" ht="15">
      <c r="A107">
        <v>18163</v>
      </c>
      <c r="B107" s="148">
        <v>44134</v>
      </c>
      <c r="C107" t="s">
        <v>361</v>
      </c>
      <c r="D107" t="s">
        <v>316</v>
      </c>
      <c r="E107" t="s">
        <v>362</v>
      </c>
      <c r="F107">
        <v>21446</v>
      </c>
      <c r="G107" t="s">
        <v>361</v>
      </c>
      <c r="H107">
        <v>137.10000610351563</v>
      </c>
      <c r="I107">
        <v>-7.9091973602771759E-3</v>
      </c>
      <c r="J107">
        <v>-2.0178310000000001E-2</v>
      </c>
      <c r="K107">
        <v>5.8398050000000006E-4</v>
      </c>
      <c r="L107">
        <v>-2.7665780000000001E-2</v>
      </c>
      <c r="M107" s="23">
        <f t="shared" si="14"/>
        <v>44134</v>
      </c>
      <c r="N107" s="99" t="e">
        <f t="shared" si="15"/>
        <v>#VALUE!</v>
      </c>
      <c r="O107" s="99" t="e">
        <f t="shared" si="16"/>
        <v>#VALUE!</v>
      </c>
      <c r="P107" s="99" t="e">
        <f t="shared" si="17"/>
        <v>#VALUE!</v>
      </c>
      <c r="Q107" s="99" t="e">
        <f t="shared" si="18"/>
        <v>#VALUE!</v>
      </c>
      <c r="R107" s="99" t="e">
        <f t="shared" si="19"/>
        <v>#VALUE!</v>
      </c>
      <c r="S107" s="99" t="e">
        <f t="shared" si="20"/>
        <v>#VALUE!</v>
      </c>
      <c r="T107" s="99" t="e">
        <f t="shared" si="21"/>
        <v>#VALUE!</v>
      </c>
      <c r="U107" s="99" t="e">
        <f t="shared" si="22"/>
        <v>#VALUE!</v>
      </c>
      <c r="AH107" s="114"/>
      <c r="AI107" s="114"/>
      <c r="AJ107" s="114"/>
      <c r="AK107" s="115"/>
    </row>
    <row r="108" spans="1:37" ht="15">
      <c r="A108">
        <v>18163</v>
      </c>
      <c r="B108" s="148">
        <v>44165</v>
      </c>
      <c r="C108" t="s">
        <v>361</v>
      </c>
      <c r="D108" t="s">
        <v>316</v>
      </c>
      <c r="E108" t="s">
        <v>362</v>
      </c>
      <c r="F108">
        <v>21446</v>
      </c>
      <c r="G108" t="s">
        <v>361</v>
      </c>
      <c r="H108">
        <v>138.8699951171875</v>
      </c>
      <c r="I108">
        <v>1.2910204008221626E-2</v>
      </c>
      <c r="J108">
        <v>0.123707</v>
      </c>
      <c r="K108">
        <v>0.17441209999999999</v>
      </c>
      <c r="L108">
        <v>0.10754569999999999</v>
      </c>
      <c r="M108" s="23">
        <f t="shared" si="14"/>
        <v>44165</v>
      </c>
      <c r="N108" s="99" t="e">
        <f t="shared" si="15"/>
        <v>#VALUE!</v>
      </c>
      <c r="O108" s="99" t="e">
        <f t="shared" si="16"/>
        <v>#VALUE!</v>
      </c>
      <c r="P108" s="99" t="e">
        <f t="shared" si="17"/>
        <v>#VALUE!</v>
      </c>
      <c r="Q108" s="99" t="e">
        <f t="shared" si="18"/>
        <v>#VALUE!</v>
      </c>
      <c r="R108" s="99" t="e">
        <f t="shared" si="19"/>
        <v>#VALUE!</v>
      </c>
      <c r="S108" s="99" t="e">
        <f t="shared" si="20"/>
        <v>#VALUE!</v>
      </c>
      <c r="T108" s="99" t="e">
        <f t="shared" si="21"/>
        <v>#VALUE!</v>
      </c>
      <c r="U108" s="99" t="e">
        <f t="shared" si="22"/>
        <v>#VALUE!</v>
      </c>
      <c r="AH108" s="114"/>
      <c r="AI108" s="114"/>
      <c r="AJ108" s="114"/>
      <c r="AK108" s="115"/>
    </row>
    <row r="109" spans="1:37" ht="15">
      <c r="A109">
        <v>18163</v>
      </c>
      <c r="B109" s="148">
        <v>44196</v>
      </c>
      <c r="C109" t="s">
        <v>361</v>
      </c>
      <c r="D109" t="s">
        <v>316</v>
      </c>
      <c r="E109" t="s">
        <v>362</v>
      </c>
      <c r="F109">
        <v>21446</v>
      </c>
      <c r="G109" t="s">
        <v>361</v>
      </c>
      <c r="H109">
        <v>139.13999938964844</v>
      </c>
      <c r="I109">
        <v>1.9442952470853925E-3</v>
      </c>
      <c r="J109">
        <v>4.5048299999999999E-2</v>
      </c>
      <c r="K109">
        <v>7.2852890000000003E-2</v>
      </c>
      <c r="L109">
        <v>3.7121410000000001E-2</v>
      </c>
      <c r="M109" s="23">
        <f t="shared" si="14"/>
        <v>44196</v>
      </c>
      <c r="N109" s="99" t="e">
        <f t="shared" si="15"/>
        <v>#VALUE!</v>
      </c>
      <c r="O109" s="99" t="e">
        <f t="shared" si="16"/>
        <v>#VALUE!</v>
      </c>
      <c r="P109" s="99" t="e">
        <f t="shared" si="17"/>
        <v>#VALUE!</v>
      </c>
      <c r="Q109" s="99" t="e">
        <f t="shared" si="18"/>
        <v>#VALUE!</v>
      </c>
      <c r="R109" s="99" t="e">
        <f t="shared" si="19"/>
        <v>#VALUE!</v>
      </c>
      <c r="S109" s="99" t="e">
        <f t="shared" si="20"/>
        <v>#VALUE!</v>
      </c>
      <c r="T109" s="99" t="e">
        <f t="shared" si="21"/>
        <v>#VALUE!</v>
      </c>
      <c r="U109" s="99" t="e">
        <f t="shared" si="22"/>
        <v>#VALUE!</v>
      </c>
      <c r="AH109" s="114"/>
      <c r="AI109" s="114"/>
      <c r="AJ109" s="114"/>
      <c r="AK109" s="115"/>
    </row>
    <row r="110" spans="1:37" ht="15">
      <c r="A110">
        <v>18163</v>
      </c>
      <c r="B110" s="148">
        <v>44225</v>
      </c>
      <c r="C110" t="s">
        <v>361</v>
      </c>
      <c r="D110" t="s">
        <v>316</v>
      </c>
      <c r="E110" t="s">
        <v>362</v>
      </c>
      <c r="F110">
        <v>21446</v>
      </c>
      <c r="G110" t="s">
        <v>361</v>
      </c>
      <c r="H110">
        <v>128.21000671386719</v>
      </c>
      <c r="I110">
        <v>-7.287115603685379E-2</v>
      </c>
      <c r="J110">
        <v>-6.3112699999999999E-4</v>
      </c>
      <c r="K110">
        <v>7.3191809999999996E-2</v>
      </c>
      <c r="L110">
        <v>-1.113664E-2</v>
      </c>
      <c r="M110" s="23">
        <f t="shared" si="14"/>
        <v>44225</v>
      </c>
      <c r="N110" s="99" t="e">
        <f t="shared" si="15"/>
        <v>#VALUE!</v>
      </c>
      <c r="O110" s="99" t="e">
        <f t="shared" si="16"/>
        <v>#VALUE!</v>
      </c>
      <c r="P110" s="99" t="e">
        <f t="shared" si="17"/>
        <v>#VALUE!</v>
      </c>
      <c r="Q110" s="99" t="e">
        <f t="shared" si="18"/>
        <v>#VALUE!</v>
      </c>
      <c r="R110" s="99" t="e">
        <f t="shared" si="19"/>
        <v>#VALUE!</v>
      </c>
      <c r="S110" s="99" t="e">
        <f t="shared" si="20"/>
        <v>#VALUE!</v>
      </c>
      <c r="T110" s="99" t="e">
        <f t="shared" si="21"/>
        <v>#VALUE!</v>
      </c>
      <c r="U110" s="99" t="e">
        <f t="shared" si="22"/>
        <v>#VALUE!</v>
      </c>
      <c r="AH110" s="114"/>
      <c r="AI110" s="114"/>
      <c r="AJ110" s="114"/>
      <c r="AK110" s="115"/>
    </row>
    <row r="111" spans="1:37" ht="15">
      <c r="A111">
        <v>18163</v>
      </c>
      <c r="B111" s="148">
        <v>44253</v>
      </c>
      <c r="C111" t="s">
        <v>361</v>
      </c>
      <c r="D111" t="s">
        <v>316</v>
      </c>
      <c r="E111" t="s">
        <v>362</v>
      </c>
      <c r="F111">
        <v>21446</v>
      </c>
      <c r="G111" t="s">
        <v>361</v>
      </c>
      <c r="H111">
        <v>123.52999877929688</v>
      </c>
      <c r="I111">
        <v>-3.6502674221992493E-2</v>
      </c>
      <c r="J111">
        <v>2.919625E-2</v>
      </c>
      <c r="K111">
        <v>6.7527760000000006E-2</v>
      </c>
      <c r="L111">
        <v>2.609148E-2</v>
      </c>
      <c r="M111" s="23">
        <f t="shared" ref="M111:M145" si="23">B111</f>
        <v>44253</v>
      </c>
      <c r="N111" s="99" t="e">
        <f t="shared" si="15"/>
        <v>#VALUE!</v>
      </c>
      <c r="O111" s="99" t="e">
        <f t="shared" si="16"/>
        <v>#VALUE!</v>
      </c>
      <c r="P111" s="99" t="e">
        <f t="shared" si="17"/>
        <v>#VALUE!</v>
      </c>
      <c r="Q111" s="99" t="e">
        <f t="shared" si="18"/>
        <v>#VALUE!</v>
      </c>
      <c r="R111" s="99" t="e">
        <f t="shared" si="19"/>
        <v>#VALUE!</v>
      </c>
      <c r="S111" s="99" t="e">
        <f t="shared" si="20"/>
        <v>#VALUE!</v>
      </c>
      <c r="T111" s="99" t="e">
        <f t="shared" si="21"/>
        <v>#VALUE!</v>
      </c>
      <c r="U111" s="99" t="e">
        <f t="shared" si="22"/>
        <v>#VALUE!</v>
      </c>
      <c r="AH111" s="114"/>
      <c r="AI111" s="114"/>
      <c r="AJ111" s="114"/>
      <c r="AK111" s="115"/>
    </row>
    <row r="112" spans="1:37" ht="15">
      <c r="A112">
        <v>18163</v>
      </c>
      <c r="B112" s="148">
        <v>44286</v>
      </c>
      <c r="C112" t="s">
        <v>361</v>
      </c>
      <c r="D112" t="s">
        <v>316</v>
      </c>
      <c r="E112" t="s">
        <v>362</v>
      </c>
      <c r="F112">
        <v>21446</v>
      </c>
      <c r="G112" t="s">
        <v>361</v>
      </c>
      <c r="H112">
        <v>135.42999267578125</v>
      </c>
      <c r="I112">
        <v>9.6332825720310211E-2</v>
      </c>
      <c r="J112">
        <v>3.0573300000000001E-2</v>
      </c>
      <c r="K112">
        <v>1.2448880000000001E-2</v>
      </c>
      <c r="L112">
        <v>4.2438629999999998E-2</v>
      </c>
      <c r="M112" s="23">
        <f t="shared" si="23"/>
        <v>44286</v>
      </c>
      <c r="N112" s="99" t="e">
        <f t="shared" si="15"/>
        <v>#VALUE!</v>
      </c>
      <c r="O112" s="99" t="e">
        <f t="shared" si="16"/>
        <v>#VALUE!</v>
      </c>
      <c r="P112" s="99" t="e">
        <f t="shared" si="17"/>
        <v>#VALUE!</v>
      </c>
      <c r="Q112" s="99" t="e">
        <f t="shared" si="18"/>
        <v>#VALUE!</v>
      </c>
      <c r="R112" s="99" t="e">
        <f t="shared" si="19"/>
        <v>#VALUE!</v>
      </c>
      <c r="S112" s="99" t="e">
        <f t="shared" si="20"/>
        <v>#VALUE!</v>
      </c>
      <c r="T112" s="99" t="e">
        <f t="shared" si="21"/>
        <v>#VALUE!</v>
      </c>
      <c r="U112" s="99" t="e">
        <f t="shared" si="22"/>
        <v>#VALUE!</v>
      </c>
      <c r="AH112" s="114"/>
      <c r="AI112" s="114"/>
      <c r="AJ112" s="114"/>
      <c r="AK112" s="115"/>
    </row>
    <row r="113" spans="1:37" ht="15">
      <c r="A113">
        <v>18163</v>
      </c>
      <c r="B113" s="148">
        <v>44316</v>
      </c>
      <c r="C113" t="s">
        <v>361</v>
      </c>
      <c r="D113" t="s">
        <v>316</v>
      </c>
      <c r="E113" t="s">
        <v>362</v>
      </c>
      <c r="F113">
        <v>21446</v>
      </c>
      <c r="G113" t="s">
        <v>361</v>
      </c>
      <c r="H113">
        <v>133.41999816894531</v>
      </c>
      <c r="I113">
        <v>-8.4190694615244865E-3</v>
      </c>
      <c r="J113">
        <v>4.8190190000000001E-2</v>
      </c>
      <c r="K113">
        <v>1.661203E-2</v>
      </c>
      <c r="L113">
        <v>5.2425310000000003E-2</v>
      </c>
      <c r="M113" s="23">
        <f t="shared" si="23"/>
        <v>44316</v>
      </c>
      <c r="N113" s="99" t="e">
        <f t="shared" si="15"/>
        <v>#VALUE!</v>
      </c>
      <c r="O113" s="99" t="e">
        <f t="shared" si="16"/>
        <v>#VALUE!</v>
      </c>
      <c r="P113" s="99" t="e">
        <f t="shared" si="17"/>
        <v>#VALUE!</v>
      </c>
      <c r="Q113" s="99" t="e">
        <f t="shared" si="18"/>
        <v>#VALUE!</v>
      </c>
      <c r="R113" s="99" t="e">
        <f t="shared" si="19"/>
        <v>#VALUE!</v>
      </c>
      <c r="S113" s="99" t="e">
        <f t="shared" si="20"/>
        <v>#VALUE!</v>
      </c>
      <c r="T113" s="99" t="e">
        <f t="shared" si="21"/>
        <v>#VALUE!</v>
      </c>
      <c r="U113" s="99" t="e">
        <f t="shared" si="22"/>
        <v>#VALUE!</v>
      </c>
      <c r="AH113" s="114"/>
      <c r="AI113" s="114"/>
      <c r="AJ113" s="114"/>
      <c r="AK113" s="115"/>
    </row>
    <row r="114" spans="1:37" ht="15">
      <c r="A114">
        <v>18163</v>
      </c>
      <c r="B114" s="148">
        <v>44344</v>
      </c>
      <c r="C114" t="s">
        <v>361</v>
      </c>
      <c r="D114" t="s">
        <v>316</v>
      </c>
      <c r="E114" t="s">
        <v>362</v>
      </c>
      <c r="F114">
        <v>21446</v>
      </c>
      <c r="G114" t="s">
        <v>361</v>
      </c>
      <c r="H114">
        <v>134.85000610351563</v>
      </c>
      <c r="I114">
        <v>1.0718093253672123E-2</v>
      </c>
      <c r="J114">
        <v>7.0918620000000009E-3</v>
      </c>
      <c r="K114">
        <v>1.317869E-2</v>
      </c>
      <c r="L114">
        <v>5.4865030000000002E-3</v>
      </c>
      <c r="M114" s="23">
        <f t="shared" si="23"/>
        <v>44344</v>
      </c>
      <c r="N114" s="99" t="e">
        <f t="shared" si="15"/>
        <v>#VALUE!</v>
      </c>
      <c r="O114" s="99" t="e">
        <f t="shared" si="16"/>
        <v>#VALUE!</v>
      </c>
      <c r="P114" s="99" t="e">
        <f t="shared" si="17"/>
        <v>#VALUE!</v>
      </c>
      <c r="Q114" s="99" t="e">
        <f t="shared" si="18"/>
        <v>#VALUE!</v>
      </c>
      <c r="R114" s="99" t="e">
        <f t="shared" si="19"/>
        <v>#VALUE!</v>
      </c>
      <c r="S114" s="99" t="e">
        <f t="shared" si="20"/>
        <v>#VALUE!</v>
      </c>
      <c r="T114" s="99" t="e">
        <f t="shared" si="21"/>
        <v>#VALUE!</v>
      </c>
      <c r="U114" s="99" t="e">
        <f t="shared" si="22"/>
        <v>#VALUE!</v>
      </c>
      <c r="AH114" s="114"/>
      <c r="AI114" s="114"/>
      <c r="AJ114" s="114"/>
      <c r="AK114" s="115"/>
    </row>
    <row r="115" spans="1:37" ht="15">
      <c r="A115">
        <v>18163</v>
      </c>
      <c r="B115" s="148">
        <v>44377</v>
      </c>
      <c r="C115" t="s">
        <v>361</v>
      </c>
      <c r="D115" t="s">
        <v>316</v>
      </c>
      <c r="E115" t="s">
        <v>362</v>
      </c>
      <c r="F115">
        <v>21446</v>
      </c>
      <c r="G115" t="s">
        <v>361</v>
      </c>
      <c r="H115">
        <v>134.92999267578125</v>
      </c>
      <c r="I115">
        <v>5.93152130022645E-4</v>
      </c>
      <c r="J115">
        <v>2.34218E-2</v>
      </c>
      <c r="K115">
        <v>2.14816E-2</v>
      </c>
      <c r="L115">
        <v>2.2213980000000001E-2</v>
      </c>
      <c r="M115" s="23">
        <f t="shared" si="23"/>
        <v>44377</v>
      </c>
      <c r="N115" s="99" t="e">
        <f t="shared" si="15"/>
        <v>#VALUE!</v>
      </c>
      <c r="O115" s="99" t="e">
        <f t="shared" si="16"/>
        <v>#VALUE!</v>
      </c>
      <c r="P115" s="99" t="e">
        <f t="shared" si="17"/>
        <v>#VALUE!</v>
      </c>
      <c r="Q115" s="99" t="e">
        <f t="shared" si="18"/>
        <v>#VALUE!</v>
      </c>
      <c r="R115" s="99" t="e">
        <f t="shared" si="19"/>
        <v>#VALUE!</v>
      </c>
      <c r="S115" s="99" t="e">
        <f t="shared" si="20"/>
        <v>#VALUE!</v>
      </c>
      <c r="T115" s="99" t="e">
        <f t="shared" si="21"/>
        <v>#VALUE!</v>
      </c>
      <c r="U115" s="99" t="e">
        <f t="shared" si="22"/>
        <v>#VALUE!</v>
      </c>
      <c r="AH115" s="114"/>
      <c r="AI115" s="114"/>
      <c r="AJ115" s="114"/>
      <c r="AK115" s="115"/>
    </row>
    <row r="116" spans="1:37" ht="15">
      <c r="A116">
        <v>18163</v>
      </c>
      <c r="B116" s="148">
        <v>44407</v>
      </c>
      <c r="C116" t="s">
        <v>361</v>
      </c>
      <c r="D116" t="s">
        <v>316</v>
      </c>
      <c r="E116" t="s">
        <v>362</v>
      </c>
      <c r="F116">
        <v>21446</v>
      </c>
      <c r="G116" t="s">
        <v>361</v>
      </c>
      <c r="H116">
        <v>142.22999572753906</v>
      </c>
      <c r="I116">
        <v>6.0548458248376846E-2</v>
      </c>
      <c r="J116">
        <v>1.1827799999999999E-2</v>
      </c>
      <c r="K116">
        <v>-3.3643949999999999E-2</v>
      </c>
      <c r="L116">
        <v>2.2748110000000002E-2</v>
      </c>
      <c r="M116" s="23">
        <f t="shared" si="23"/>
        <v>44407</v>
      </c>
      <c r="N116" s="99" t="e">
        <f t="shared" si="15"/>
        <v>#VALUE!</v>
      </c>
      <c r="O116" s="99" t="e">
        <f t="shared" si="16"/>
        <v>#VALUE!</v>
      </c>
      <c r="P116" s="99" t="e">
        <f t="shared" si="17"/>
        <v>#VALUE!</v>
      </c>
      <c r="Q116" s="99" t="e">
        <f t="shared" si="18"/>
        <v>#VALUE!</v>
      </c>
      <c r="R116" s="99" t="e">
        <f t="shared" si="19"/>
        <v>#VALUE!</v>
      </c>
      <c r="S116" s="99" t="e">
        <f t="shared" si="20"/>
        <v>#VALUE!</v>
      </c>
      <c r="T116" s="99" t="e">
        <f t="shared" si="21"/>
        <v>#VALUE!</v>
      </c>
      <c r="U116" s="99" t="e">
        <f t="shared" si="22"/>
        <v>#VALUE!</v>
      </c>
      <c r="AH116" s="114"/>
      <c r="AI116" s="114"/>
      <c r="AJ116" s="114"/>
      <c r="AK116" s="115"/>
    </row>
    <row r="117" spans="1:37" ht="15">
      <c r="A117">
        <v>18163</v>
      </c>
      <c r="B117" s="148">
        <v>44439</v>
      </c>
      <c r="C117" t="s">
        <v>361</v>
      </c>
      <c r="D117" t="s">
        <v>316</v>
      </c>
      <c r="E117" t="s">
        <v>362</v>
      </c>
      <c r="F117">
        <v>21446</v>
      </c>
      <c r="G117" t="s">
        <v>361</v>
      </c>
      <c r="H117">
        <v>142.38999938964844</v>
      </c>
      <c r="I117">
        <v>1.1249642120674253E-3</v>
      </c>
      <c r="J117">
        <v>2.714637E-2</v>
      </c>
      <c r="K117">
        <v>1.88918E-2</v>
      </c>
      <c r="L117">
        <v>2.899032E-2</v>
      </c>
      <c r="M117" s="23">
        <f t="shared" si="23"/>
        <v>44439</v>
      </c>
      <c r="N117" s="99" t="e">
        <f t="shared" si="15"/>
        <v>#VALUE!</v>
      </c>
      <c r="O117" s="99" t="e">
        <f t="shared" si="16"/>
        <v>#VALUE!</v>
      </c>
      <c r="P117" s="99" t="e">
        <f t="shared" si="17"/>
        <v>#VALUE!</v>
      </c>
      <c r="Q117" s="99" t="e">
        <f t="shared" si="18"/>
        <v>#VALUE!</v>
      </c>
      <c r="R117" s="99" t="e">
        <f t="shared" si="19"/>
        <v>#VALUE!</v>
      </c>
      <c r="S117" s="99" t="e">
        <f t="shared" si="20"/>
        <v>#VALUE!</v>
      </c>
      <c r="T117" s="99" t="e">
        <f t="shared" si="21"/>
        <v>#VALUE!</v>
      </c>
      <c r="U117" s="99" t="e">
        <f t="shared" si="22"/>
        <v>#VALUE!</v>
      </c>
      <c r="AH117" s="114"/>
      <c r="AI117" s="114"/>
      <c r="AJ117" s="114"/>
      <c r="AK117" s="115"/>
    </row>
    <row r="118" spans="1:37" ht="15">
      <c r="A118">
        <v>18163</v>
      </c>
      <c r="B118" s="148">
        <v>44469</v>
      </c>
      <c r="C118" t="s">
        <v>361</v>
      </c>
      <c r="D118" t="s">
        <v>316</v>
      </c>
      <c r="E118" t="s">
        <v>362</v>
      </c>
      <c r="F118">
        <v>21446</v>
      </c>
      <c r="G118" t="s">
        <v>361</v>
      </c>
      <c r="H118">
        <v>139.80000305175781</v>
      </c>
      <c r="I118">
        <v>-1.8189454451203346E-2</v>
      </c>
      <c r="J118">
        <v>-4.22434E-2</v>
      </c>
      <c r="K118">
        <v>-2.8472009999999999E-2</v>
      </c>
      <c r="L118">
        <v>-4.7569140000000003E-2</v>
      </c>
      <c r="M118" s="23">
        <f t="shared" si="23"/>
        <v>44469</v>
      </c>
      <c r="N118" s="99" t="e">
        <f t="shared" si="15"/>
        <v>#VALUE!</v>
      </c>
      <c r="O118" s="99" t="e">
        <f t="shared" si="16"/>
        <v>#VALUE!</v>
      </c>
      <c r="P118" s="99" t="e">
        <f t="shared" si="17"/>
        <v>#VALUE!</v>
      </c>
      <c r="Q118" s="99" t="e">
        <f t="shared" si="18"/>
        <v>#VALUE!</v>
      </c>
      <c r="R118" s="99" t="e">
        <f t="shared" si="19"/>
        <v>#VALUE!</v>
      </c>
      <c r="S118" s="99" t="e">
        <f t="shared" si="20"/>
        <v>#VALUE!</v>
      </c>
      <c r="T118" s="99" t="e">
        <f t="shared" si="21"/>
        <v>#VALUE!</v>
      </c>
      <c r="U118" s="99" t="e">
        <f t="shared" si="22"/>
        <v>#VALUE!</v>
      </c>
      <c r="AH118" s="114"/>
      <c r="AI118" s="114"/>
      <c r="AJ118" s="114"/>
      <c r="AK118" s="115"/>
    </row>
    <row r="119" spans="1:37" ht="15">
      <c r="A119">
        <v>18163</v>
      </c>
      <c r="B119" s="148">
        <v>44498</v>
      </c>
      <c r="C119" t="s">
        <v>361</v>
      </c>
      <c r="D119" t="s">
        <v>316</v>
      </c>
      <c r="E119" t="s">
        <v>362</v>
      </c>
      <c r="F119">
        <v>21446</v>
      </c>
      <c r="G119" t="s">
        <v>361</v>
      </c>
      <c r="H119">
        <v>142.99000549316406</v>
      </c>
      <c r="I119">
        <v>2.9040073975920677E-2</v>
      </c>
      <c r="J119">
        <v>6.4650510000000008E-2</v>
      </c>
      <c r="K119">
        <v>2.6557239999999999E-2</v>
      </c>
      <c r="L119">
        <v>6.9143880000000005E-2</v>
      </c>
      <c r="M119" s="23">
        <f t="shared" si="23"/>
        <v>44498</v>
      </c>
      <c r="N119" s="99" t="e">
        <f t="shared" si="15"/>
        <v>#VALUE!</v>
      </c>
      <c r="O119" s="99" t="e">
        <f t="shared" si="16"/>
        <v>#VALUE!</v>
      </c>
      <c r="P119" s="99" t="e">
        <f t="shared" si="17"/>
        <v>#VALUE!</v>
      </c>
      <c r="Q119" s="99" t="e">
        <f t="shared" si="18"/>
        <v>#VALUE!</v>
      </c>
      <c r="R119" s="99" t="e">
        <f t="shared" si="19"/>
        <v>#VALUE!</v>
      </c>
      <c r="S119" s="99" t="e">
        <f t="shared" si="20"/>
        <v>#VALUE!</v>
      </c>
      <c r="T119" s="99" t="e">
        <f t="shared" si="21"/>
        <v>#VALUE!</v>
      </c>
      <c r="U119" s="99" t="e">
        <f t="shared" si="22"/>
        <v>#VALUE!</v>
      </c>
      <c r="AH119" s="114"/>
      <c r="AI119" s="114"/>
      <c r="AJ119" s="114"/>
      <c r="AK119" s="115"/>
    </row>
    <row r="120" spans="1:37" ht="15">
      <c r="A120">
        <v>18163</v>
      </c>
      <c r="B120" s="148">
        <v>44530</v>
      </c>
      <c r="C120" t="s">
        <v>361</v>
      </c>
      <c r="D120" t="s">
        <v>316</v>
      </c>
      <c r="E120" t="s">
        <v>362</v>
      </c>
      <c r="F120">
        <v>21446</v>
      </c>
      <c r="G120" t="s">
        <v>361</v>
      </c>
      <c r="H120">
        <v>144.58000183105469</v>
      </c>
      <c r="I120">
        <v>1.1119632981717587E-2</v>
      </c>
      <c r="J120">
        <v>-1.8350490000000001E-2</v>
      </c>
      <c r="K120">
        <v>-4.6540369999999998E-2</v>
      </c>
      <c r="L120">
        <v>-8.3337310000000005E-3</v>
      </c>
      <c r="M120" s="23">
        <f t="shared" si="23"/>
        <v>44530</v>
      </c>
      <c r="N120" s="99" t="e">
        <f t="shared" si="15"/>
        <v>#VALUE!</v>
      </c>
      <c r="O120" s="99" t="e">
        <f t="shared" si="16"/>
        <v>#VALUE!</v>
      </c>
      <c r="P120" s="99" t="e">
        <f t="shared" si="17"/>
        <v>#VALUE!</v>
      </c>
      <c r="Q120" s="99" t="e">
        <f t="shared" si="18"/>
        <v>#VALUE!</v>
      </c>
      <c r="R120" s="99" t="e">
        <f t="shared" si="19"/>
        <v>#VALUE!</v>
      </c>
      <c r="S120" s="99" t="e">
        <f t="shared" si="20"/>
        <v>#VALUE!</v>
      </c>
      <c r="T120" s="99" t="e">
        <f t="shared" si="21"/>
        <v>#VALUE!</v>
      </c>
      <c r="U120" s="99" t="e">
        <f t="shared" si="22"/>
        <v>#VALUE!</v>
      </c>
      <c r="AH120" s="114"/>
      <c r="AI120" s="114"/>
      <c r="AJ120" s="114"/>
      <c r="AK120" s="115"/>
    </row>
    <row r="121" spans="1:37" ht="15">
      <c r="A121">
        <v>18163</v>
      </c>
      <c r="B121" s="148">
        <v>44561</v>
      </c>
      <c r="C121" t="s">
        <v>361</v>
      </c>
      <c r="D121" t="s">
        <v>316</v>
      </c>
      <c r="E121" t="s">
        <v>362</v>
      </c>
      <c r="F121">
        <v>21446</v>
      </c>
      <c r="G121" t="s">
        <v>361</v>
      </c>
      <c r="H121">
        <v>163.58000183105469</v>
      </c>
      <c r="I121">
        <v>0.13141512870788574</v>
      </c>
      <c r="J121">
        <v>3.3341229999999999E-2</v>
      </c>
      <c r="K121">
        <v>-1.75968E-3</v>
      </c>
      <c r="L121">
        <v>4.361288E-2</v>
      </c>
      <c r="M121" s="23">
        <f t="shared" si="23"/>
        <v>44561</v>
      </c>
      <c r="N121" s="99" t="e">
        <f t="shared" si="15"/>
        <v>#VALUE!</v>
      </c>
      <c r="O121" s="99" t="e">
        <f t="shared" si="16"/>
        <v>#VALUE!</v>
      </c>
      <c r="P121" s="99" t="e">
        <f t="shared" si="17"/>
        <v>#VALUE!</v>
      </c>
      <c r="Q121" s="99" t="e">
        <f t="shared" si="18"/>
        <v>#VALUE!</v>
      </c>
      <c r="R121" s="99" t="e">
        <f t="shared" si="19"/>
        <v>#VALUE!</v>
      </c>
      <c r="S121" s="99" t="e">
        <f t="shared" si="20"/>
        <v>#VALUE!</v>
      </c>
      <c r="T121" s="99" t="e">
        <f t="shared" si="21"/>
        <v>#VALUE!</v>
      </c>
      <c r="U121" s="99" t="e">
        <f t="shared" si="22"/>
        <v>#VALUE!</v>
      </c>
      <c r="AH121" s="114"/>
      <c r="AI121" s="114"/>
      <c r="AJ121" s="114"/>
      <c r="AK121" s="115"/>
    </row>
    <row r="122" spans="1:37" ht="15">
      <c r="A122">
        <v>18163</v>
      </c>
      <c r="B122" s="148">
        <v>44592</v>
      </c>
      <c r="C122" t="s">
        <v>361</v>
      </c>
      <c r="D122" t="s">
        <v>316</v>
      </c>
      <c r="E122" t="s">
        <v>362</v>
      </c>
      <c r="F122">
        <v>21446</v>
      </c>
      <c r="G122" t="s">
        <v>361</v>
      </c>
      <c r="H122">
        <v>160.44999694824219</v>
      </c>
      <c r="I122">
        <v>-1.3817122206091881E-2</v>
      </c>
      <c r="J122">
        <v>-5.9822460000000001E-2</v>
      </c>
      <c r="K122">
        <v>-6.8191150000000006E-2</v>
      </c>
      <c r="L122">
        <v>-5.2585090000000001E-2</v>
      </c>
      <c r="M122" s="23">
        <f t="shared" si="23"/>
        <v>44592</v>
      </c>
      <c r="N122" s="99" t="e">
        <f t="shared" si="15"/>
        <v>#VALUE!</v>
      </c>
      <c r="O122" s="99" t="e">
        <f t="shared" si="16"/>
        <v>#VALUE!</v>
      </c>
      <c r="P122" s="99" t="e">
        <f t="shared" si="17"/>
        <v>#VALUE!</v>
      </c>
      <c r="Q122" s="99" t="e">
        <f t="shared" si="18"/>
        <v>#VALUE!</v>
      </c>
      <c r="R122" s="99" t="e">
        <f t="shared" si="19"/>
        <v>#VALUE!</v>
      </c>
      <c r="S122" s="99" t="e">
        <f t="shared" si="20"/>
        <v>#VALUE!</v>
      </c>
      <c r="T122" s="99" t="e">
        <f t="shared" si="21"/>
        <v>#VALUE!</v>
      </c>
      <c r="U122" s="99" t="e">
        <f t="shared" si="22"/>
        <v>#VALUE!</v>
      </c>
      <c r="AH122" s="114"/>
      <c r="AI122" s="114"/>
      <c r="AJ122" s="114"/>
      <c r="AK122" s="115"/>
    </row>
    <row r="123" spans="1:37" ht="15">
      <c r="A123">
        <v>18163</v>
      </c>
      <c r="B123" s="148">
        <v>44620</v>
      </c>
      <c r="C123" t="s">
        <v>361</v>
      </c>
      <c r="D123" t="s">
        <v>316</v>
      </c>
      <c r="E123" t="s">
        <v>362</v>
      </c>
      <c r="F123">
        <v>21446</v>
      </c>
      <c r="G123" t="s">
        <v>361</v>
      </c>
      <c r="H123">
        <v>155.88999938964844</v>
      </c>
      <c r="I123">
        <v>-2.8420053422451019E-2</v>
      </c>
      <c r="J123">
        <v>-2.183775E-2</v>
      </c>
      <c r="K123">
        <v>-7.4115200000000004E-3</v>
      </c>
      <c r="L123">
        <v>-3.1360520000000003E-2</v>
      </c>
      <c r="M123" s="23">
        <f t="shared" si="23"/>
        <v>44620</v>
      </c>
      <c r="N123" s="99" t="e">
        <f t="shared" si="15"/>
        <v>#VALUE!</v>
      </c>
      <c r="O123" s="99" t="e">
        <f t="shared" si="16"/>
        <v>#VALUE!</v>
      </c>
      <c r="P123" s="99" t="e">
        <f t="shared" si="17"/>
        <v>#VALUE!</v>
      </c>
      <c r="Q123" s="99" t="e">
        <f t="shared" si="18"/>
        <v>#VALUE!</v>
      </c>
      <c r="R123" s="99" t="e">
        <f t="shared" si="19"/>
        <v>#VALUE!</v>
      </c>
      <c r="S123" s="99" t="e">
        <f t="shared" si="20"/>
        <v>#VALUE!</v>
      </c>
      <c r="T123" s="99" t="e">
        <f t="shared" si="21"/>
        <v>#VALUE!</v>
      </c>
      <c r="U123" s="99" t="e">
        <f t="shared" si="22"/>
        <v>#VALUE!</v>
      </c>
      <c r="AH123" s="114"/>
      <c r="AI123" s="114"/>
      <c r="AJ123" s="114"/>
      <c r="AK123" s="115"/>
    </row>
    <row r="124" spans="1:37" ht="15">
      <c r="A124">
        <v>18163</v>
      </c>
      <c r="B124" s="148">
        <v>44651</v>
      </c>
      <c r="C124" t="s">
        <v>361</v>
      </c>
      <c r="D124" t="s">
        <v>316</v>
      </c>
      <c r="E124" t="s">
        <v>362</v>
      </c>
      <c r="F124">
        <v>21446</v>
      </c>
      <c r="G124" t="s">
        <v>361</v>
      </c>
      <c r="H124">
        <v>152.80000305175781</v>
      </c>
      <c r="I124">
        <v>-1.9821645691990852E-2</v>
      </c>
      <c r="J124">
        <v>3.050572E-2</v>
      </c>
      <c r="K124">
        <v>1.5437670000000001E-2</v>
      </c>
      <c r="L124">
        <v>3.5773239999999998E-2</v>
      </c>
      <c r="M124" s="23">
        <f t="shared" si="23"/>
        <v>44651</v>
      </c>
      <c r="N124" s="99" t="e">
        <f t="shared" si="15"/>
        <v>#VALUE!</v>
      </c>
      <c r="O124" s="99" t="e">
        <f t="shared" si="16"/>
        <v>#VALUE!</v>
      </c>
      <c r="P124" s="99" t="e">
        <f t="shared" si="17"/>
        <v>#VALUE!</v>
      </c>
      <c r="Q124" s="99" t="e">
        <f t="shared" si="18"/>
        <v>#VALUE!</v>
      </c>
      <c r="R124" s="99" t="e">
        <f t="shared" si="19"/>
        <v>#VALUE!</v>
      </c>
      <c r="S124" s="99" t="e">
        <f t="shared" si="20"/>
        <v>#VALUE!</v>
      </c>
      <c r="T124" s="99" t="e">
        <f t="shared" si="21"/>
        <v>#VALUE!</v>
      </c>
      <c r="U124" s="99" t="e">
        <f t="shared" si="22"/>
        <v>#VALUE!</v>
      </c>
      <c r="AH124" s="114"/>
      <c r="AI124" s="114"/>
      <c r="AJ124" s="114"/>
      <c r="AK124" s="115"/>
    </row>
    <row r="125" spans="1:37" ht="15">
      <c r="A125">
        <v>18163</v>
      </c>
      <c r="B125" s="148">
        <v>44680</v>
      </c>
      <c r="C125" t="s">
        <v>361</v>
      </c>
      <c r="D125" t="s">
        <v>316</v>
      </c>
      <c r="E125" t="s">
        <v>362</v>
      </c>
      <c r="F125">
        <v>21446</v>
      </c>
      <c r="G125" t="s">
        <v>361</v>
      </c>
      <c r="H125">
        <v>160.55000305175781</v>
      </c>
      <c r="I125">
        <v>5.6696988642215729E-2</v>
      </c>
      <c r="J125">
        <v>-8.9386839999999995E-2</v>
      </c>
      <c r="K125">
        <v>-8.9641600000000002E-2</v>
      </c>
      <c r="L125">
        <v>-8.7956720000000002E-2</v>
      </c>
      <c r="M125" s="23">
        <f t="shared" si="23"/>
        <v>44680</v>
      </c>
      <c r="N125" s="99" t="e">
        <f t="shared" si="15"/>
        <v>#VALUE!</v>
      </c>
      <c r="O125" s="99" t="e">
        <f t="shared" si="16"/>
        <v>#VALUE!</v>
      </c>
      <c r="P125" s="99" t="e">
        <f t="shared" si="17"/>
        <v>#VALUE!</v>
      </c>
      <c r="Q125" s="99" t="e">
        <f t="shared" si="18"/>
        <v>#VALUE!</v>
      </c>
      <c r="R125" s="99" t="e">
        <f t="shared" si="19"/>
        <v>#VALUE!</v>
      </c>
      <c r="S125" s="99" t="e">
        <f t="shared" si="20"/>
        <v>#VALUE!</v>
      </c>
      <c r="T125" s="99" t="e">
        <f t="shared" si="21"/>
        <v>#VALUE!</v>
      </c>
      <c r="U125" s="99" t="e">
        <f t="shared" si="22"/>
        <v>#VALUE!</v>
      </c>
      <c r="AH125" s="114"/>
      <c r="AI125" s="114"/>
      <c r="AJ125" s="114"/>
      <c r="AK125" s="115"/>
    </row>
    <row r="126" spans="1:37" ht="15">
      <c r="A126">
        <v>18163</v>
      </c>
      <c r="B126" s="148">
        <v>44712</v>
      </c>
      <c r="C126" t="s">
        <v>361</v>
      </c>
      <c r="D126" t="s">
        <v>316</v>
      </c>
      <c r="E126" t="s">
        <v>362</v>
      </c>
      <c r="F126">
        <v>21446</v>
      </c>
      <c r="G126" t="s">
        <v>361</v>
      </c>
      <c r="H126">
        <v>147.8800048828125</v>
      </c>
      <c r="I126">
        <v>-7.8916214406490326E-2</v>
      </c>
      <c r="J126">
        <v>-2.1129410000000001E-3</v>
      </c>
      <c r="K126">
        <v>-1.610265E-2</v>
      </c>
      <c r="L126">
        <v>5.3243879999999999E-5</v>
      </c>
      <c r="M126" s="23">
        <f t="shared" si="23"/>
        <v>44712</v>
      </c>
      <c r="N126" s="99" t="e">
        <f t="shared" si="15"/>
        <v>#VALUE!</v>
      </c>
      <c r="O126" s="99" t="e">
        <f t="shared" si="16"/>
        <v>#VALUE!</v>
      </c>
      <c r="P126" s="99" t="e">
        <f t="shared" si="17"/>
        <v>#VALUE!</v>
      </c>
      <c r="Q126" s="99" t="e">
        <f t="shared" si="18"/>
        <v>#VALUE!</v>
      </c>
      <c r="R126" s="99" t="e">
        <f t="shared" si="19"/>
        <v>#VALUE!</v>
      </c>
      <c r="S126" s="99" t="e">
        <f t="shared" si="20"/>
        <v>#VALUE!</v>
      </c>
      <c r="T126" s="99" t="e">
        <f t="shared" si="21"/>
        <v>#VALUE!</v>
      </c>
      <c r="U126" s="99" t="e">
        <f t="shared" si="22"/>
        <v>#VALUE!</v>
      </c>
      <c r="AH126" s="114"/>
      <c r="AI126" s="114"/>
      <c r="AJ126" s="114"/>
      <c r="AK126" s="115"/>
    </row>
    <row r="127" spans="1:37" ht="15">
      <c r="A127">
        <v>18163</v>
      </c>
      <c r="B127" s="148">
        <v>44742</v>
      </c>
      <c r="C127" t="s">
        <v>361</v>
      </c>
      <c r="D127" t="s">
        <v>316</v>
      </c>
      <c r="E127" t="s">
        <v>362</v>
      </c>
      <c r="F127">
        <v>21446</v>
      </c>
      <c r="G127" t="s">
        <v>361</v>
      </c>
      <c r="H127">
        <v>143.78999328613281</v>
      </c>
      <c r="I127">
        <v>-2.7657637372612953E-2</v>
      </c>
      <c r="J127">
        <v>-8.3997500000000003E-2</v>
      </c>
      <c r="K127">
        <v>-6.8796739999999995E-2</v>
      </c>
      <c r="L127">
        <v>-8.391999E-2</v>
      </c>
      <c r="M127" s="23">
        <f t="shared" si="23"/>
        <v>44742</v>
      </c>
      <c r="N127" s="99" t="e">
        <f t="shared" si="15"/>
        <v>#VALUE!</v>
      </c>
      <c r="O127" s="99" t="e">
        <f t="shared" si="16"/>
        <v>#VALUE!</v>
      </c>
      <c r="P127" s="99" t="e">
        <f t="shared" si="17"/>
        <v>#VALUE!</v>
      </c>
      <c r="Q127" s="99" t="e">
        <f t="shared" si="18"/>
        <v>#VALUE!</v>
      </c>
      <c r="R127" s="99" t="e">
        <f t="shared" si="19"/>
        <v>#VALUE!</v>
      </c>
      <c r="S127" s="99" t="e">
        <f t="shared" si="20"/>
        <v>#VALUE!</v>
      </c>
      <c r="T127" s="99" t="e">
        <f t="shared" si="21"/>
        <v>#VALUE!</v>
      </c>
      <c r="U127" s="99" t="e">
        <f t="shared" si="22"/>
        <v>#VALUE!</v>
      </c>
      <c r="AH127" s="114"/>
      <c r="AI127" s="114"/>
      <c r="AJ127" s="114"/>
      <c r="AK127" s="115"/>
    </row>
    <row r="128" spans="1:37" ht="15">
      <c r="A128">
        <v>18163</v>
      </c>
      <c r="B128" s="148">
        <v>44771</v>
      </c>
      <c r="C128" t="s">
        <v>361</v>
      </c>
      <c r="D128" t="s">
        <v>316</v>
      </c>
      <c r="E128" t="s">
        <v>362</v>
      </c>
      <c r="F128">
        <v>21446</v>
      </c>
      <c r="G128" t="s">
        <v>361</v>
      </c>
      <c r="H128">
        <v>138.91000366210938</v>
      </c>
      <c r="I128">
        <v>-2.7586687356233597E-2</v>
      </c>
      <c r="J128">
        <v>9.0350750000000007E-2</v>
      </c>
      <c r="K128">
        <v>6.5359589999999995E-2</v>
      </c>
      <c r="L128">
        <v>9.1116349999999999E-2</v>
      </c>
      <c r="M128" s="23">
        <f t="shared" si="23"/>
        <v>44771</v>
      </c>
      <c r="N128" s="99" t="e">
        <f t="shared" si="15"/>
        <v>#VALUE!</v>
      </c>
      <c r="O128" s="99" t="e">
        <f t="shared" si="16"/>
        <v>#VALUE!</v>
      </c>
      <c r="P128" s="99" t="e">
        <f t="shared" si="17"/>
        <v>#VALUE!</v>
      </c>
      <c r="Q128" s="99" t="e">
        <f t="shared" si="18"/>
        <v>#VALUE!</v>
      </c>
      <c r="R128" s="99" t="e">
        <f t="shared" si="19"/>
        <v>#VALUE!</v>
      </c>
      <c r="S128" s="99" t="e">
        <f t="shared" si="20"/>
        <v>#VALUE!</v>
      </c>
      <c r="T128" s="99" t="e">
        <f t="shared" si="21"/>
        <v>#VALUE!</v>
      </c>
      <c r="U128" s="99" t="e">
        <f t="shared" si="22"/>
        <v>#VALUE!</v>
      </c>
      <c r="AH128" s="114"/>
      <c r="AI128" s="114"/>
      <c r="AJ128" s="114"/>
      <c r="AK128" s="115"/>
    </row>
    <row r="129" spans="1:37" ht="15">
      <c r="A129">
        <v>18163</v>
      </c>
      <c r="B129" s="148">
        <v>44804</v>
      </c>
      <c r="C129" t="s">
        <v>361</v>
      </c>
      <c r="D129" t="s">
        <v>316</v>
      </c>
      <c r="E129" t="s">
        <v>362</v>
      </c>
      <c r="F129">
        <v>21446</v>
      </c>
      <c r="G129" t="s">
        <v>361</v>
      </c>
      <c r="H129">
        <v>137.94000244140625</v>
      </c>
      <c r="I129">
        <v>-6.9829472340643406E-3</v>
      </c>
      <c r="J129">
        <v>-3.6233059999999997E-2</v>
      </c>
      <c r="K129">
        <v>-1.1554470000000001E-2</v>
      </c>
      <c r="L129">
        <v>-4.2440119999999998E-2</v>
      </c>
      <c r="M129" s="23">
        <f t="shared" si="23"/>
        <v>44804</v>
      </c>
      <c r="N129" s="99" t="e">
        <f t="shared" si="15"/>
        <v>#VALUE!</v>
      </c>
      <c r="O129" s="99" t="e">
        <f t="shared" si="16"/>
        <v>#VALUE!</v>
      </c>
      <c r="P129" s="99" t="e">
        <f t="shared" si="17"/>
        <v>#VALUE!</v>
      </c>
      <c r="Q129" s="99" t="e">
        <f t="shared" si="18"/>
        <v>#VALUE!</v>
      </c>
      <c r="R129" s="99" t="e">
        <f t="shared" si="19"/>
        <v>#VALUE!</v>
      </c>
      <c r="S129" s="99" t="e">
        <f t="shared" si="20"/>
        <v>#VALUE!</v>
      </c>
      <c r="T129" s="99" t="e">
        <f t="shared" si="21"/>
        <v>#VALUE!</v>
      </c>
      <c r="U129" s="99" t="e">
        <f t="shared" si="22"/>
        <v>#VALUE!</v>
      </c>
      <c r="AH129" s="114"/>
      <c r="AI129" s="114"/>
      <c r="AJ129" s="114"/>
      <c r="AK129" s="115"/>
    </row>
    <row r="130" spans="1:37" ht="15">
      <c r="A130">
        <v>18163</v>
      </c>
      <c r="B130" s="148">
        <v>44834</v>
      </c>
      <c r="C130" t="s">
        <v>361</v>
      </c>
      <c r="D130" t="s">
        <v>316</v>
      </c>
      <c r="E130" t="s">
        <v>362</v>
      </c>
      <c r="F130">
        <v>21446</v>
      </c>
      <c r="G130" t="s">
        <v>361</v>
      </c>
      <c r="H130">
        <v>126.25</v>
      </c>
      <c r="I130">
        <v>-8.4747008979320526E-2</v>
      </c>
      <c r="J130">
        <v>-9.1323000000000001E-2</v>
      </c>
      <c r="K130">
        <v>-9.9902530000000003E-2</v>
      </c>
      <c r="L130">
        <v>-9.3395699999999998E-2</v>
      </c>
      <c r="M130" s="23">
        <f t="shared" si="23"/>
        <v>44834</v>
      </c>
      <c r="N130" s="99" t="e">
        <f t="shared" si="15"/>
        <v>#VALUE!</v>
      </c>
      <c r="O130" s="99" t="e">
        <f t="shared" si="16"/>
        <v>#VALUE!</v>
      </c>
      <c r="P130" s="99" t="e">
        <f t="shared" si="17"/>
        <v>#VALUE!</v>
      </c>
      <c r="Q130" s="99" t="e">
        <f t="shared" si="18"/>
        <v>#VALUE!</v>
      </c>
      <c r="R130" s="99" t="e">
        <f t="shared" si="19"/>
        <v>#VALUE!</v>
      </c>
      <c r="S130" s="99" t="e">
        <f t="shared" si="20"/>
        <v>#VALUE!</v>
      </c>
      <c r="T130" s="99" t="e">
        <f t="shared" si="21"/>
        <v>#VALUE!</v>
      </c>
      <c r="U130" s="99" t="e">
        <f t="shared" si="22"/>
        <v>#VALUE!</v>
      </c>
      <c r="AH130" s="114"/>
      <c r="AI130" s="114"/>
      <c r="AJ130" s="114"/>
      <c r="AK130" s="115"/>
    </row>
    <row r="131" spans="1:37" ht="15">
      <c r="A131">
        <v>18163</v>
      </c>
      <c r="B131" s="148">
        <v>44865</v>
      </c>
      <c r="C131" t="s">
        <v>361</v>
      </c>
      <c r="D131" t="s">
        <v>316</v>
      </c>
      <c r="E131" t="s">
        <v>362</v>
      </c>
      <c r="F131">
        <v>21446</v>
      </c>
      <c r="G131" t="s">
        <v>361</v>
      </c>
      <c r="H131">
        <v>134.66999816894531</v>
      </c>
      <c r="I131">
        <v>7.3927111923694611E-2</v>
      </c>
      <c r="J131">
        <v>7.7393630000000005E-2</v>
      </c>
      <c r="K131">
        <v>4.9862509999999999E-2</v>
      </c>
      <c r="L131">
        <v>7.9863450000000002E-2</v>
      </c>
      <c r="M131" s="23">
        <f t="shared" si="23"/>
        <v>44865</v>
      </c>
      <c r="N131" s="99" t="e">
        <f t="shared" ref="N131:N145" si="24">IF(AND(($W$12-4)&lt;=$M131,($W$13)&gt;=($M131-4)),I131," ")</f>
        <v>#VALUE!</v>
      </c>
      <c r="O131" s="99" t="e">
        <f t="shared" ref="O131:O145" si="25">IF(AND(($W$12-4)&lt;=$M131,($W$13)&gt;=($M131-4)),J131," ")</f>
        <v>#VALUE!</v>
      </c>
      <c r="P131" s="99" t="e">
        <f t="shared" ref="P131:P145" si="26">IF(AND(($W$12-4)&lt;=$M131,($W$13)&gt;=($M131-4)),K131," ")</f>
        <v>#VALUE!</v>
      </c>
      <c r="Q131" s="99" t="e">
        <f t="shared" ref="Q131:Q145" si="27">IF(AND(($W$12-4)&lt;=$M131,($W$13)&gt;=($M131-4)),L131," ")</f>
        <v>#VALUE!</v>
      </c>
      <c r="R131" s="99" t="e">
        <f t="shared" si="19"/>
        <v>#VALUE!</v>
      </c>
      <c r="S131" s="99" t="e">
        <f t="shared" si="20"/>
        <v>#VALUE!</v>
      </c>
      <c r="T131" s="99" t="e">
        <f t="shared" si="21"/>
        <v>#VALUE!</v>
      </c>
      <c r="U131" s="99" t="e">
        <f t="shared" si="22"/>
        <v>#VALUE!</v>
      </c>
      <c r="AH131" s="114"/>
      <c r="AI131" s="114"/>
      <c r="AJ131" s="114"/>
      <c r="AK131" s="115"/>
    </row>
    <row r="132" spans="1:37" ht="15">
      <c r="A132">
        <v>18163</v>
      </c>
      <c r="B132" s="148">
        <v>44895</v>
      </c>
      <c r="C132" t="s">
        <v>361</v>
      </c>
      <c r="D132" t="s">
        <v>316</v>
      </c>
      <c r="E132" t="s">
        <v>362</v>
      </c>
      <c r="F132">
        <v>21446</v>
      </c>
      <c r="G132" t="s">
        <v>361</v>
      </c>
      <c r="H132">
        <v>149.16000366210938</v>
      </c>
      <c r="I132">
        <v>0.10759638994932175</v>
      </c>
      <c r="J132">
        <v>5.2353919999999998E-2</v>
      </c>
      <c r="K132">
        <v>2.812274E-2</v>
      </c>
      <c r="L132">
        <v>5.375286E-2</v>
      </c>
      <c r="M132" s="23">
        <f t="shared" si="23"/>
        <v>44895</v>
      </c>
      <c r="N132" s="99" t="e">
        <f t="shared" si="24"/>
        <v>#VALUE!</v>
      </c>
      <c r="O132" s="99" t="e">
        <f t="shared" si="25"/>
        <v>#VALUE!</v>
      </c>
      <c r="P132" s="99" t="e">
        <f t="shared" si="26"/>
        <v>#VALUE!</v>
      </c>
      <c r="Q132" s="99" t="e">
        <f t="shared" si="27"/>
        <v>#VALUE!</v>
      </c>
      <c r="R132" s="99" t="e">
        <f t="shared" si="19"/>
        <v>#VALUE!</v>
      </c>
      <c r="S132" s="99" t="e">
        <f t="shared" si="20"/>
        <v>#VALUE!</v>
      </c>
      <c r="T132" s="99" t="e">
        <f t="shared" si="21"/>
        <v>#VALUE!</v>
      </c>
      <c r="U132" s="99" t="e">
        <f t="shared" si="22"/>
        <v>#VALUE!</v>
      </c>
      <c r="AH132" s="114"/>
      <c r="AI132" s="114"/>
      <c r="AJ132" s="114"/>
      <c r="AK132" s="115"/>
    </row>
    <row r="133" spans="1:37" ht="15">
      <c r="A133">
        <v>18163</v>
      </c>
      <c r="B133" s="148">
        <v>44925</v>
      </c>
      <c r="C133" t="s">
        <v>361</v>
      </c>
      <c r="D133" t="s">
        <v>316</v>
      </c>
      <c r="E133" t="s">
        <v>362</v>
      </c>
      <c r="F133">
        <v>21446</v>
      </c>
      <c r="G133" t="s">
        <v>361</v>
      </c>
      <c r="H133">
        <v>151.55999755859375</v>
      </c>
      <c r="I133">
        <v>1.6090063378214836E-2</v>
      </c>
      <c r="J133">
        <v>-5.7119460000000004E-2</v>
      </c>
      <c r="K133">
        <v>-4.7241390000000001E-2</v>
      </c>
      <c r="L133">
        <v>-5.8971450000000002E-2</v>
      </c>
      <c r="M133" s="23">
        <f t="shared" si="23"/>
        <v>44925</v>
      </c>
      <c r="N133" s="99" t="e">
        <f t="shared" si="24"/>
        <v>#VALUE!</v>
      </c>
      <c r="O133" s="99" t="e">
        <f t="shared" si="25"/>
        <v>#VALUE!</v>
      </c>
      <c r="P133" s="99" t="e">
        <f t="shared" si="26"/>
        <v>#VALUE!</v>
      </c>
      <c r="Q133" s="99" t="e">
        <f t="shared" si="27"/>
        <v>#VALUE!</v>
      </c>
      <c r="R133" s="99" t="e">
        <f t="shared" si="19"/>
        <v>#VALUE!</v>
      </c>
      <c r="S133" s="99" t="e">
        <f t="shared" si="20"/>
        <v>#VALUE!</v>
      </c>
      <c r="T133" s="99" t="e">
        <f t="shared" si="21"/>
        <v>#VALUE!</v>
      </c>
      <c r="U133" s="99" t="e">
        <f t="shared" si="22"/>
        <v>#VALUE!</v>
      </c>
      <c r="AH133" s="114"/>
      <c r="AI133" s="114"/>
      <c r="AJ133" s="114"/>
      <c r="AK133" s="115"/>
    </row>
    <row r="134" spans="1:37" ht="15">
      <c r="A134">
        <v>18163</v>
      </c>
      <c r="B134" s="148">
        <v>44957</v>
      </c>
      <c r="C134" t="s">
        <v>361</v>
      </c>
      <c r="D134" t="s">
        <v>316</v>
      </c>
      <c r="E134" t="s">
        <v>362</v>
      </c>
      <c r="F134">
        <v>21446</v>
      </c>
      <c r="G134" t="s">
        <v>361</v>
      </c>
      <c r="H134">
        <v>142.3800048828125</v>
      </c>
      <c r="I134">
        <v>-5.4544027894735336E-2</v>
      </c>
      <c r="J134">
        <v>7.1823280000000003E-2</v>
      </c>
      <c r="K134">
        <v>0.12642970000000001</v>
      </c>
      <c r="L134">
        <v>6.1752830000000002E-2</v>
      </c>
      <c r="M134" s="23">
        <f t="shared" si="23"/>
        <v>44957</v>
      </c>
      <c r="N134" s="99" t="e">
        <f t="shared" si="24"/>
        <v>#VALUE!</v>
      </c>
      <c r="O134" s="99" t="e">
        <f t="shared" si="25"/>
        <v>#VALUE!</v>
      </c>
      <c r="P134" s="99" t="e">
        <f t="shared" si="26"/>
        <v>#VALUE!</v>
      </c>
      <c r="Q134" s="99" t="e">
        <f t="shared" si="27"/>
        <v>#VALUE!</v>
      </c>
      <c r="R134" s="99" t="e">
        <f t="shared" si="19"/>
        <v>#VALUE!</v>
      </c>
      <c r="S134" s="99" t="e">
        <f t="shared" si="20"/>
        <v>#VALUE!</v>
      </c>
      <c r="T134" s="99" t="e">
        <f t="shared" si="21"/>
        <v>#VALUE!</v>
      </c>
      <c r="U134" s="99" t="e">
        <f t="shared" si="22"/>
        <v>#VALUE!</v>
      </c>
      <c r="AH134" s="114"/>
      <c r="AI134" s="114"/>
      <c r="AJ134" s="114"/>
      <c r="AK134" s="115"/>
    </row>
    <row r="135" spans="1:37" ht="15">
      <c r="A135">
        <v>18163</v>
      </c>
      <c r="B135" s="148">
        <v>44985</v>
      </c>
      <c r="C135" t="s">
        <v>361</v>
      </c>
      <c r="D135" t="s">
        <v>316</v>
      </c>
      <c r="E135" t="s">
        <v>362</v>
      </c>
      <c r="F135">
        <v>21446</v>
      </c>
      <c r="G135" t="s">
        <v>361</v>
      </c>
      <c r="H135">
        <v>137.55999755859375</v>
      </c>
      <c r="I135">
        <v>-3.3853121101856232E-2</v>
      </c>
      <c r="J135">
        <v>-2.466604E-2</v>
      </c>
      <c r="K135">
        <v>-3.5291120000000002E-2</v>
      </c>
      <c r="L135">
        <v>-2.6112449999999999E-2</v>
      </c>
      <c r="M135" s="23">
        <f t="shared" si="23"/>
        <v>44985</v>
      </c>
      <c r="N135" s="99" t="e">
        <f t="shared" si="24"/>
        <v>#VALUE!</v>
      </c>
      <c r="O135" s="99" t="e">
        <f t="shared" si="25"/>
        <v>#VALUE!</v>
      </c>
      <c r="P135" s="99" t="e">
        <f t="shared" si="26"/>
        <v>#VALUE!</v>
      </c>
      <c r="Q135" s="99" t="e">
        <f t="shared" si="27"/>
        <v>#VALUE!</v>
      </c>
      <c r="R135" s="99" t="e">
        <f t="shared" si="19"/>
        <v>#VALUE!</v>
      </c>
      <c r="S135" s="99" t="e">
        <f t="shared" si="20"/>
        <v>#VALUE!</v>
      </c>
      <c r="T135" s="99" t="e">
        <f t="shared" si="21"/>
        <v>#VALUE!</v>
      </c>
      <c r="U135" s="99" t="e">
        <f t="shared" si="22"/>
        <v>#VALUE!</v>
      </c>
      <c r="AH135" s="114"/>
      <c r="AI135" s="114"/>
      <c r="AJ135" s="114"/>
      <c r="AK135" s="115"/>
    </row>
    <row r="136" spans="1:37" ht="15">
      <c r="A136">
        <v>18163</v>
      </c>
      <c r="B136" s="148">
        <v>45016</v>
      </c>
      <c r="C136" t="s">
        <v>361</v>
      </c>
      <c r="D136" t="s">
        <v>316</v>
      </c>
      <c r="E136" t="s">
        <v>362</v>
      </c>
      <c r="F136">
        <v>21446</v>
      </c>
      <c r="G136" t="s">
        <v>361</v>
      </c>
      <c r="H136">
        <v>148.69000244140625</v>
      </c>
      <c r="I136">
        <v>8.0910183489322662E-2</v>
      </c>
      <c r="J136">
        <v>2.3949810000000002E-2</v>
      </c>
      <c r="K136">
        <v>-3.6553660000000002E-2</v>
      </c>
      <c r="L136">
        <v>3.5051570000000004E-2</v>
      </c>
      <c r="M136" s="23">
        <f t="shared" si="23"/>
        <v>45016</v>
      </c>
      <c r="N136" s="99" t="e">
        <f t="shared" si="24"/>
        <v>#VALUE!</v>
      </c>
      <c r="O136" s="99" t="e">
        <f t="shared" si="25"/>
        <v>#VALUE!</v>
      </c>
      <c r="P136" s="99" t="e">
        <f t="shared" si="26"/>
        <v>#VALUE!</v>
      </c>
      <c r="Q136" s="99" t="e">
        <f t="shared" si="27"/>
        <v>#VALUE!</v>
      </c>
      <c r="R136" s="99" t="e">
        <f t="shared" si="19"/>
        <v>#VALUE!</v>
      </c>
      <c r="S136" s="99" t="e">
        <f t="shared" si="20"/>
        <v>#VALUE!</v>
      </c>
      <c r="T136" s="99" t="e">
        <f t="shared" si="21"/>
        <v>#VALUE!</v>
      </c>
      <c r="U136" s="99" t="e">
        <f t="shared" si="22"/>
        <v>#VALUE!</v>
      </c>
      <c r="AH136" s="114"/>
      <c r="AI136" s="114"/>
      <c r="AJ136" s="114"/>
      <c r="AK136" s="115"/>
    </row>
    <row r="137" spans="1:37" ht="15">
      <c r="A137">
        <v>18163</v>
      </c>
      <c r="B137" s="148">
        <v>45044</v>
      </c>
      <c r="C137" t="s">
        <v>361</v>
      </c>
      <c r="D137" t="s">
        <v>316</v>
      </c>
      <c r="E137" t="s">
        <v>362</v>
      </c>
      <c r="F137">
        <v>21446</v>
      </c>
      <c r="G137" t="s">
        <v>361</v>
      </c>
      <c r="H137">
        <v>156.3800048828125</v>
      </c>
      <c r="I137">
        <v>5.8044940233230591E-2</v>
      </c>
      <c r="J137">
        <v>8.9757230000000014E-3</v>
      </c>
      <c r="K137">
        <v>-9.5184730000000013E-3</v>
      </c>
      <c r="L137">
        <v>1.464236E-2</v>
      </c>
      <c r="M137" s="23">
        <f t="shared" si="23"/>
        <v>45044</v>
      </c>
      <c r="N137" s="99" t="e">
        <f t="shared" si="24"/>
        <v>#VALUE!</v>
      </c>
      <c r="O137" s="99" t="e">
        <f t="shared" si="25"/>
        <v>#VALUE!</v>
      </c>
      <c r="P137" s="99" t="e">
        <f t="shared" si="26"/>
        <v>#VALUE!</v>
      </c>
      <c r="Q137" s="99" t="e">
        <f t="shared" si="27"/>
        <v>#VALUE!</v>
      </c>
      <c r="R137" s="99" t="e">
        <f t="shared" si="19"/>
        <v>#VALUE!</v>
      </c>
      <c r="S137" s="99" t="e">
        <f t="shared" si="20"/>
        <v>#VALUE!</v>
      </c>
      <c r="T137" s="99" t="e">
        <f t="shared" si="21"/>
        <v>#VALUE!</v>
      </c>
      <c r="U137" s="99" t="e">
        <f t="shared" si="22"/>
        <v>#VALUE!</v>
      </c>
      <c r="AH137" s="114"/>
      <c r="AI137" s="114"/>
      <c r="AJ137" s="114"/>
      <c r="AK137" s="115"/>
    </row>
    <row r="138" spans="1:37" ht="15">
      <c r="A138">
        <v>18163</v>
      </c>
      <c r="B138" s="148">
        <v>45077</v>
      </c>
      <c r="C138" t="s">
        <v>361</v>
      </c>
      <c r="D138" t="s">
        <v>316</v>
      </c>
      <c r="E138" t="s">
        <v>362</v>
      </c>
      <c r="F138">
        <v>21446</v>
      </c>
      <c r="G138" t="s">
        <v>361</v>
      </c>
      <c r="H138">
        <v>142.5</v>
      </c>
      <c r="I138">
        <v>-8.8758178055286407E-2</v>
      </c>
      <c r="J138">
        <v>7.0798820000000007E-4</v>
      </c>
      <c r="K138">
        <v>-8.7756930000000011E-3</v>
      </c>
      <c r="L138">
        <v>2.4823240000000002E-3</v>
      </c>
      <c r="M138" s="23">
        <f t="shared" si="23"/>
        <v>45077</v>
      </c>
      <c r="N138" s="99" t="e">
        <f t="shared" si="24"/>
        <v>#VALUE!</v>
      </c>
      <c r="O138" s="99" t="e">
        <f t="shared" si="25"/>
        <v>#VALUE!</v>
      </c>
      <c r="P138" s="99" t="e">
        <f t="shared" si="26"/>
        <v>#VALUE!</v>
      </c>
      <c r="Q138" s="99" t="e">
        <f t="shared" si="27"/>
        <v>#VALUE!</v>
      </c>
      <c r="R138" s="99" t="e">
        <f t="shared" si="19"/>
        <v>#VALUE!</v>
      </c>
      <c r="S138" s="99" t="e">
        <f t="shared" si="20"/>
        <v>#VALUE!</v>
      </c>
      <c r="T138" s="99" t="e">
        <f t="shared" si="21"/>
        <v>#VALUE!</v>
      </c>
      <c r="U138" s="99" t="e">
        <f t="shared" si="22"/>
        <v>#VALUE!</v>
      </c>
      <c r="AH138" s="114"/>
      <c r="AI138" s="114"/>
      <c r="AJ138" s="114"/>
      <c r="AK138" s="115"/>
    </row>
    <row r="139" spans="1:37" ht="15">
      <c r="A139">
        <v>18163</v>
      </c>
      <c r="B139" s="148">
        <v>45107</v>
      </c>
      <c r="C139" t="s">
        <v>361</v>
      </c>
      <c r="D139" t="s">
        <v>316</v>
      </c>
      <c r="E139" t="s">
        <v>362</v>
      </c>
      <c r="F139">
        <v>21446</v>
      </c>
      <c r="G139" t="s">
        <v>361</v>
      </c>
      <c r="H139">
        <v>151.74000549316406</v>
      </c>
      <c r="I139">
        <v>6.4842142164707184E-2</v>
      </c>
      <c r="J139">
        <v>6.6182829999999998E-2</v>
      </c>
      <c r="K139">
        <v>5.2623839999999998E-2</v>
      </c>
      <c r="L139">
        <v>6.4727510000000002E-2</v>
      </c>
      <c r="M139" s="23">
        <f t="shared" si="23"/>
        <v>45107</v>
      </c>
      <c r="N139" s="99" t="e">
        <f t="shared" si="24"/>
        <v>#VALUE!</v>
      </c>
      <c r="O139" s="99" t="e">
        <f t="shared" si="25"/>
        <v>#VALUE!</v>
      </c>
      <c r="P139" s="99" t="e">
        <f t="shared" si="26"/>
        <v>#VALUE!</v>
      </c>
      <c r="Q139" s="99" t="e">
        <f t="shared" si="27"/>
        <v>#VALUE!</v>
      </c>
      <c r="R139" s="99" t="e">
        <f t="shared" si="19"/>
        <v>#VALUE!</v>
      </c>
      <c r="S139" s="99" t="e">
        <f t="shared" si="20"/>
        <v>#VALUE!</v>
      </c>
      <c r="T139" s="99" t="e">
        <f t="shared" si="21"/>
        <v>#VALUE!</v>
      </c>
      <c r="U139" s="99" t="e">
        <f t="shared" si="22"/>
        <v>#VALUE!</v>
      </c>
      <c r="AH139" s="114"/>
      <c r="AI139" s="114"/>
      <c r="AJ139" s="114"/>
      <c r="AK139" s="115"/>
    </row>
    <row r="140" spans="1:37" ht="15">
      <c r="A140">
        <v>18163</v>
      </c>
      <c r="B140" s="148">
        <v>45138</v>
      </c>
      <c r="C140" t="s">
        <v>361</v>
      </c>
      <c r="D140" t="s">
        <v>316</v>
      </c>
      <c r="E140" t="s">
        <v>362</v>
      </c>
      <c r="F140">
        <v>21446</v>
      </c>
      <c r="G140" t="s">
        <v>361</v>
      </c>
      <c r="H140">
        <v>156.30000305175781</v>
      </c>
      <c r="I140">
        <v>3.6250807344913483E-2</v>
      </c>
      <c r="J140">
        <v>3.5624330000000003E-2</v>
      </c>
      <c r="K140">
        <v>4.3309449999999999E-2</v>
      </c>
      <c r="L140">
        <v>3.1138910000000002E-2</v>
      </c>
      <c r="M140" s="23">
        <f t="shared" si="23"/>
        <v>45138</v>
      </c>
      <c r="N140" s="99" t="e">
        <f t="shared" si="24"/>
        <v>#VALUE!</v>
      </c>
      <c r="O140" s="99" t="e">
        <f t="shared" si="25"/>
        <v>#VALUE!</v>
      </c>
      <c r="P140" s="99" t="e">
        <f t="shared" si="26"/>
        <v>#VALUE!</v>
      </c>
      <c r="Q140" s="99" t="e">
        <f t="shared" si="27"/>
        <v>#VALUE!</v>
      </c>
      <c r="R140" s="99" t="e">
        <f t="shared" ref="R140:R145" si="28">IF(AND(($W$15-4)&lt;=$M140,($W$16)&gt;=($M140-4)),I140," ")</f>
        <v>#VALUE!</v>
      </c>
      <c r="S140" s="99" t="e">
        <f t="shared" ref="S140:S145" si="29">IF(AND(($W$15-4)&lt;=$M140,($W$16)&gt;=($M140-4)),J140," ")</f>
        <v>#VALUE!</v>
      </c>
      <c r="T140" s="99" t="e">
        <f t="shared" ref="T140:T145" si="30">IF(AND(($W$15-4)&lt;=$M140,($W$16)&gt;=($M140-4)),K140," ")</f>
        <v>#VALUE!</v>
      </c>
      <c r="U140" s="99" t="e">
        <f t="shared" si="22"/>
        <v>#VALUE!</v>
      </c>
      <c r="AH140" s="114"/>
      <c r="AI140" s="114"/>
      <c r="AJ140" s="114"/>
      <c r="AK140" s="115"/>
    </row>
    <row r="141" spans="1:37" ht="15">
      <c r="A141">
        <v>18163</v>
      </c>
      <c r="B141" s="148">
        <v>45169</v>
      </c>
      <c r="C141" t="s">
        <v>361</v>
      </c>
      <c r="D141" t="s">
        <v>316</v>
      </c>
      <c r="E141" t="s">
        <v>362</v>
      </c>
      <c r="F141">
        <v>21446</v>
      </c>
      <c r="G141" t="s">
        <v>361</v>
      </c>
      <c r="H141">
        <v>154.33999633789063</v>
      </c>
      <c r="I141">
        <v>-1.2540030293166637E-2</v>
      </c>
      <c r="J141">
        <v>-2.0605370000000001E-2</v>
      </c>
      <c r="K141">
        <v>-5.2542190000000003E-2</v>
      </c>
      <c r="L141">
        <v>-1.7716430000000002E-2</v>
      </c>
      <c r="M141" s="23">
        <f t="shared" si="23"/>
        <v>45169</v>
      </c>
      <c r="N141" s="99" t="e">
        <f t="shared" si="24"/>
        <v>#VALUE!</v>
      </c>
      <c r="O141" s="99" t="e">
        <f t="shared" si="25"/>
        <v>#VALUE!</v>
      </c>
      <c r="P141" s="99" t="e">
        <f t="shared" si="26"/>
        <v>#VALUE!</v>
      </c>
      <c r="Q141" s="99" t="e">
        <f t="shared" si="27"/>
        <v>#VALUE!</v>
      </c>
      <c r="R141" s="99" t="e">
        <f t="shared" si="28"/>
        <v>#VALUE!</v>
      </c>
      <c r="S141" s="99" t="e">
        <f t="shared" si="29"/>
        <v>#VALUE!</v>
      </c>
      <c r="T141" s="99" t="e">
        <f t="shared" si="30"/>
        <v>#VALUE!</v>
      </c>
      <c r="U141" s="99" t="e">
        <f t="shared" si="22"/>
        <v>#VALUE!</v>
      </c>
      <c r="AH141" s="114"/>
      <c r="AI141" s="114"/>
      <c r="AJ141" s="114"/>
      <c r="AK141" s="115"/>
    </row>
    <row r="142" spans="1:37" ht="15">
      <c r="A142">
        <v>18163</v>
      </c>
      <c r="B142" s="148">
        <v>45198</v>
      </c>
      <c r="C142" t="s">
        <v>361</v>
      </c>
      <c r="D142" t="s">
        <v>316</v>
      </c>
      <c r="E142" t="s">
        <v>362</v>
      </c>
      <c r="F142">
        <v>21446</v>
      </c>
      <c r="G142" t="s">
        <v>361</v>
      </c>
      <c r="H142">
        <v>145.86000061035156</v>
      </c>
      <c r="I142">
        <v>-5.494360625743866E-2</v>
      </c>
      <c r="J142">
        <v>-4.7389890000000004E-2</v>
      </c>
      <c r="K142">
        <v>-5.5442539999999998E-2</v>
      </c>
      <c r="L142">
        <v>-4.8719289999999998E-2</v>
      </c>
      <c r="M142" s="23">
        <f t="shared" si="23"/>
        <v>45198</v>
      </c>
      <c r="N142" s="99" t="e">
        <f t="shared" si="24"/>
        <v>#VALUE!</v>
      </c>
      <c r="O142" s="99" t="e">
        <f t="shared" si="25"/>
        <v>#VALUE!</v>
      </c>
      <c r="P142" s="99" t="e">
        <f t="shared" si="26"/>
        <v>#VALUE!</v>
      </c>
      <c r="Q142" s="99" t="e">
        <f t="shared" si="27"/>
        <v>#VALUE!</v>
      </c>
      <c r="R142" s="99" t="e">
        <f t="shared" si="28"/>
        <v>#VALUE!</v>
      </c>
      <c r="S142" s="99" t="e">
        <f t="shared" si="29"/>
        <v>#VALUE!</v>
      </c>
      <c r="T142" s="99" t="e">
        <f t="shared" si="30"/>
        <v>#VALUE!</v>
      </c>
      <c r="U142" s="99" t="e">
        <f t="shared" si="22"/>
        <v>#VALUE!</v>
      </c>
      <c r="AH142" s="114"/>
      <c r="AI142" s="114"/>
      <c r="AJ142" s="114"/>
      <c r="AK142" s="115"/>
    </row>
    <row r="143" spans="1:37" ht="15">
      <c r="A143">
        <v>18163</v>
      </c>
      <c r="B143" s="148">
        <v>45230</v>
      </c>
      <c r="C143" t="s">
        <v>361</v>
      </c>
      <c r="D143" t="s">
        <v>316</v>
      </c>
      <c r="E143" t="s">
        <v>362</v>
      </c>
      <c r="F143">
        <v>21446</v>
      </c>
      <c r="G143" t="s">
        <v>361</v>
      </c>
      <c r="H143">
        <v>150.02999877929688</v>
      </c>
      <c r="I143">
        <v>3.5038381814956665E-2</v>
      </c>
      <c r="J143">
        <v>-2.886712E-2</v>
      </c>
      <c r="K143">
        <v>-6.0886880000000004E-2</v>
      </c>
      <c r="L143">
        <v>-2.197969E-2</v>
      </c>
      <c r="M143" s="23">
        <f t="shared" si="23"/>
        <v>45230</v>
      </c>
      <c r="N143" s="99" t="e">
        <f t="shared" si="24"/>
        <v>#VALUE!</v>
      </c>
      <c r="O143" s="99" t="e">
        <f t="shared" si="25"/>
        <v>#VALUE!</v>
      </c>
      <c r="P143" s="99" t="e">
        <f t="shared" si="26"/>
        <v>#VALUE!</v>
      </c>
      <c r="Q143" s="99" t="e">
        <f t="shared" si="27"/>
        <v>#VALUE!</v>
      </c>
      <c r="R143" s="99" t="e">
        <f t="shared" si="28"/>
        <v>#VALUE!</v>
      </c>
      <c r="S143" s="99" t="e">
        <f t="shared" si="29"/>
        <v>#VALUE!</v>
      </c>
      <c r="T143" s="99" t="e">
        <f t="shared" si="30"/>
        <v>#VALUE!</v>
      </c>
      <c r="U143" s="99" t="e">
        <f t="shared" si="22"/>
        <v>#VALUE!</v>
      </c>
      <c r="AH143" s="114"/>
      <c r="AI143" s="114"/>
      <c r="AJ143" s="114"/>
      <c r="AK143" s="115"/>
    </row>
    <row r="144" spans="1:37" ht="15">
      <c r="A144">
        <v>18163</v>
      </c>
      <c r="B144" s="148">
        <v>45260</v>
      </c>
      <c r="C144" t="s">
        <v>361</v>
      </c>
      <c r="D144" t="s">
        <v>316</v>
      </c>
      <c r="E144" t="s">
        <v>362</v>
      </c>
      <c r="F144">
        <v>21446</v>
      </c>
      <c r="G144" t="s">
        <v>361</v>
      </c>
      <c r="H144">
        <v>153.52000427246094</v>
      </c>
      <c r="I144">
        <v>2.3262051865458488E-2</v>
      </c>
      <c r="J144">
        <v>9.2057319999999998E-2</v>
      </c>
      <c r="K144">
        <v>8.0250500000000002E-2</v>
      </c>
      <c r="L144">
        <v>8.9179259999999996E-2</v>
      </c>
      <c r="M144" s="23">
        <f t="shared" si="23"/>
        <v>45260</v>
      </c>
      <c r="N144" s="99" t="e">
        <f t="shared" si="24"/>
        <v>#VALUE!</v>
      </c>
      <c r="O144" s="99" t="e">
        <f t="shared" si="25"/>
        <v>#VALUE!</v>
      </c>
      <c r="P144" s="99" t="e">
        <f t="shared" si="26"/>
        <v>#VALUE!</v>
      </c>
      <c r="Q144" s="99" t="e">
        <f t="shared" si="27"/>
        <v>#VALUE!</v>
      </c>
      <c r="R144" s="99" t="e">
        <f t="shared" si="28"/>
        <v>#VALUE!</v>
      </c>
      <c r="S144" s="99" t="e">
        <f t="shared" si="29"/>
        <v>#VALUE!</v>
      </c>
      <c r="T144" s="99" t="e">
        <f t="shared" si="30"/>
        <v>#VALUE!</v>
      </c>
      <c r="U144" s="99" t="e">
        <f t="shared" ref="U144:U145" si="31">IF(AND(($W$15-4)&lt;=$M144,($W$16)&gt;=($M144-4)),L144," ")</f>
        <v>#VALUE!</v>
      </c>
      <c r="AH144" s="114"/>
      <c r="AI144" s="114"/>
      <c r="AJ144" s="114"/>
      <c r="AK144" s="115"/>
    </row>
    <row r="145" spans="1:37" ht="15">
      <c r="A145">
        <v>18163</v>
      </c>
      <c r="B145" s="148">
        <v>45289</v>
      </c>
      <c r="C145" t="s">
        <v>361</v>
      </c>
      <c r="D145" t="s">
        <v>316</v>
      </c>
      <c r="E145" t="s">
        <v>362</v>
      </c>
      <c r="F145">
        <v>21446</v>
      </c>
      <c r="G145" t="s">
        <v>361</v>
      </c>
      <c r="H145">
        <v>146.53999328613281</v>
      </c>
      <c r="I145">
        <v>-4.5466460287570953E-2</v>
      </c>
      <c r="J145">
        <v>5.3467649999999999E-2</v>
      </c>
      <c r="K145">
        <v>8.3839499999999997E-2</v>
      </c>
      <c r="L145">
        <v>4.4229169999999998E-2</v>
      </c>
      <c r="M145" s="23">
        <f t="shared" si="23"/>
        <v>45289</v>
      </c>
      <c r="N145" s="99" t="e">
        <f t="shared" si="24"/>
        <v>#VALUE!</v>
      </c>
      <c r="O145" s="99" t="e">
        <f t="shared" si="25"/>
        <v>#VALUE!</v>
      </c>
      <c r="P145" s="99" t="e">
        <f t="shared" si="26"/>
        <v>#VALUE!</v>
      </c>
      <c r="Q145" s="99" t="e">
        <f t="shared" si="27"/>
        <v>#VALUE!</v>
      </c>
      <c r="R145" s="99" t="e">
        <f t="shared" si="28"/>
        <v>#VALUE!</v>
      </c>
      <c r="S145" s="99" t="e">
        <f t="shared" si="29"/>
        <v>#VALUE!</v>
      </c>
      <c r="T145" s="99" t="e">
        <f t="shared" si="30"/>
        <v>#VALUE!</v>
      </c>
      <c r="U145" s="99" t="e">
        <f t="shared" si="31"/>
        <v>#VALUE!</v>
      </c>
      <c r="AH145" s="114"/>
      <c r="AI145" s="114"/>
      <c r="AJ145" s="114"/>
      <c r="AK145" s="115"/>
    </row>
    <row r="146" spans="1:37" ht="15">
      <c r="A146"/>
      <c r="B146" s="148"/>
      <c r="C146"/>
      <c r="D146"/>
      <c r="E146"/>
      <c r="F146"/>
      <c r="G146"/>
      <c r="H146"/>
      <c r="I146"/>
      <c r="J146"/>
      <c r="K146"/>
      <c r="L146"/>
      <c r="M146" s="23"/>
      <c r="N146" s="99"/>
      <c r="O146" s="99"/>
      <c r="P146" s="99"/>
      <c r="Q146" s="99"/>
      <c r="R146" s="99"/>
      <c r="S146" s="99"/>
      <c r="T146" s="99"/>
      <c r="U146" s="99"/>
      <c r="AH146" s="114"/>
      <c r="AI146" s="114"/>
      <c r="AJ146" s="114"/>
      <c r="AK146" s="115"/>
    </row>
    <row r="147" spans="1:37" ht="15">
      <c r="A147"/>
      <c r="B147" s="148"/>
      <c r="C147"/>
      <c r="D147"/>
      <c r="E147"/>
      <c r="F147"/>
      <c r="G147"/>
      <c r="H147"/>
      <c r="I147"/>
      <c r="J147"/>
      <c r="K147"/>
      <c r="L147"/>
      <c r="M147" s="23"/>
      <c r="N147" s="99"/>
      <c r="O147" s="99"/>
      <c r="P147" s="99"/>
      <c r="Q147" s="99"/>
      <c r="R147" s="99"/>
      <c r="S147" s="99"/>
      <c r="T147" s="99"/>
      <c r="U147" s="99"/>
      <c r="AH147" s="114"/>
      <c r="AI147" s="114"/>
      <c r="AJ147" s="114"/>
      <c r="AK147" s="115"/>
    </row>
    <row r="148" spans="1:37" ht="15">
      <c r="A148"/>
      <c r="B148" s="148"/>
      <c r="C148"/>
      <c r="D148"/>
      <c r="E148"/>
      <c r="F148"/>
      <c r="G148"/>
      <c r="H148"/>
      <c r="I148"/>
      <c r="J148"/>
      <c r="K148"/>
      <c r="L148"/>
      <c r="M148" s="23"/>
      <c r="N148" s="99"/>
      <c r="O148" s="99"/>
      <c r="P148" s="99"/>
      <c r="Q148" s="99"/>
      <c r="R148" s="99"/>
      <c r="S148" s="99"/>
      <c r="T148" s="99"/>
      <c r="U148" s="99"/>
      <c r="AH148" s="114"/>
      <c r="AI148" s="114"/>
      <c r="AJ148" s="114"/>
      <c r="AK148" s="115"/>
    </row>
    <row r="149" spans="1:37" ht="15">
      <c r="A149"/>
      <c r="B149" s="148"/>
      <c r="C149"/>
      <c r="D149"/>
      <c r="E149"/>
      <c r="F149"/>
      <c r="G149"/>
      <c r="H149"/>
      <c r="I149"/>
      <c r="J149"/>
      <c r="K149"/>
      <c r="L149"/>
      <c r="M149" s="23"/>
      <c r="N149" s="99"/>
      <c r="O149" s="99"/>
      <c r="P149" s="99"/>
      <c r="Q149" s="99"/>
      <c r="R149" s="99"/>
      <c r="S149" s="99"/>
      <c r="T149" s="99"/>
      <c r="U149" s="99"/>
      <c r="AH149" s="114"/>
      <c r="AI149" s="114"/>
      <c r="AJ149" s="114"/>
      <c r="AK149" s="115"/>
    </row>
    <row r="150" spans="1:37" ht="15">
      <c r="A150"/>
      <c r="B150" s="148"/>
      <c r="C150"/>
      <c r="D150"/>
      <c r="E150"/>
      <c r="F150"/>
      <c r="G150"/>
      <c r="H150"/>
      <c r="I150"/>
      <c r="J150"/>
      <c r="K150"/>
      <c r="L150"/>
      <c r="M150" s="23"/>
      <c r="N150" s="99"/>
      <c r="O150" s="99"/>
      <c r="P150" s="99"/>
      <c r="Q150" s="99"/>
      <c r="R150" s="99"/>
      <c r="S150" s="99"/>
      <c r="T150" s="99"/>
      <c r="U150" s="99"/>
      <c r="AH150" s="114"/>
      <c r="AI150" s="114"/>
      <c r="AJ150" s="114"/>
      <c r="AK150" s="115"/>
    </row>
    <row r="151" spans="1:37" ht="15">
      <c r="A151"/>
      <c r="B151" s="148"/>
      <c r="C151"/>
      <c r="D151"/>
      <c r="E151"/>
      <c r="F151"/>
      <c r="G151"/>
      <c r="H151"/>
      <c r="I151"/>
      <c r="J151"/>
      <c r="K151"/>
      <c r="L151"/>
      <c r="M151" s="23"/>
      <c r="N151" s="99"/>
      <c r="O151" s="99"/>
      <c r="P151" s="99"/>
      <c r="Q151" s="99"/>
      <c r="R151" s="99"/>
      <c r="S151" s="99"/>
      <c r="T151" s="99"/>
      <c r="U151" s="99"/>
      <c r="AH151" s="114"/>
      <c r="AI151" s="114"/>
      <c r="AJ151" s="114"/>
      <c r="AK151" s="115"/>
    </row>
    <row r="152" spans="1:37" ht="15">
      <c r="A152"/>
      <c r="B152" s="148"/>
      <c r="C152"/>
      <c r="D152"/>
      <c r="E152"/>
      <c r="F152"/>
      <c r="G152"/>
      <c r="H152"/>
      <c r="I152"/>
      <c r="J152"/>
      <c r="K152"/>
      <c r="L152"/>
      <c r="M152" s="23"/>
      <c r="N152" s="99"/>
      <c r="O152" s="99"/>
      <c r="P152" s="99"/>
      <c r="Q152" s="99"/>
      <c r="R152" s="99"/>
      <c r="S152" s="99"/>
      <c r="T152" s="99"/>
      <c r="U152" s="99"/>
      <c r="AH152" s="114"/>
      <c r="AI152" s="114"/>
      <c r="AJ152" s="114"/>
      <c r="AK152" s="115"/>
    </row>
    <row r="153" spans="1:37" ht="15">
      <c r="A153"/>
      <c r="B153" s="148"/>
      <c r="C153"/>
      <c r="D153"/>
      <c r="E153"/>
      <c r="F153"/>
      <c r="G153"/>
      <c r="H153"/>
      <c r="I153"/>
      <c r="J153"/>
      <c r="K153"/>
      <c r="L153"/>
      <c r="M153" s="23"/>
      <c r="N153" s="99"/>
      <c r="O153" s="99"/>
      <c r="P153" s="99"/>
      <c r="Q153" s="99"/>
      <c r="R153" s="99"/>
      <c r="S153" s="99"/>
      <c r="T153" s="99"/>
      <c r="U153" s="99"/>
      <c r="AH153" s="114"/>
      <c r="AI153" s="114"/>
      <c r="AJ153" s="114"/>
      <c r="AK153" s="115"/>
    </row>
    <row r="154" spans="1:37" ht="15">
      <c r="A154"/>
      <c r="B154" s="148"/>
      <c r="C154"/>
      <c r="D154"/>
      <c r="E154"/>
      <c r="F154"/>
      <c r="G154"/>
      <c r="H154"/>
      <c r="I154"/>
      <c r="J154"/>
      <c r="K154"/>
      <c r="L154"/>
      <c r="M154" s="23"/>
      <c r="N154" s="99"/>
      <c r="O154" s="99"/>
      <c r="P154" s="99"/>
      <c r="Q154" s="99"/>
      <c r="R154" s="99"/>
      <c r="S154" s="99"/>
      <c r="T154" s="99"/>
      <c r="U154" s="99"/>
      <c r="AH154" s="114"/>
      <c r="AI154" s="114"/>
      <c r="AJ154" s="114"/>
      <c r="AK154" s="115"/>
    </row>
    <row r="155" spans="1:37" ht="15">
      <c r="A155"/>
      <c r="B155" s="148"/>
      <c r="C155"/>
      <c r="D155"/>
      <c r="E155"/>
      <c r="F155"/>
      <c r="G155"/>
      <c r="H155"/>
      <c r="I155">
        <f>SLOPE(I86:I145,J86:J145)</f>
        <v>0.39451742272189977</v>
      </c>
      <c r="J155"/>
      <c r="K155"/>
      <c r="L155"/>
      <c r="M155" s="23"/>
      <c r="N155" s="99"/>
      <c r="O155" s="99"/>
      <c r="P155" s="99"/>
      <c r="Q155" s="99"/>
      <c r="R155" s="99"/>
      <c r="S155" s="99"/>
      <c r="T155" s="99"/>
      <c r="U155" s="99"/>
      <c r="AH155" s="114"/>
      <c r="AI155" s="114"/>
      <c r="AJ155" s="114"/>
      <c r="AK155" s="115"/>
    </row>
    <row r="156" spans="1:37" ht="15">
      <c r="A156"/>
      <c r="B156" s="148"/>
      <c r="C156"/>
      <c r="D156"/>
      <c r="E156"/>
      <c r="F156"/>
      <c r="G156"/>
      <c r="H156"/>
      <c r="I156"/>
      <c r="J156"/>
      <c r="K156"/>
      <c r="L156"/>
      <c r="M156" s="23"/>
      <c r="N156" s="99"/>
      <c r="O156" s="99"/>
      <c r="P156" s="99"/>
      <c r="Q156" s="99"/>
      <c r="R156" s="99"/>
      <c r="S156" s="99"/>
      <c r="T156" s="99"/>
      <c r="U156" s="99"/>
      <c r="AH156" s="114"/>
      <c r="AI156" s="114"/>
      <c r="AJ156" s="114"/>
      <c r="AK156" s="115"/>
    </row>
    <row r="157" spans="1:37" ht="15">
      <c r="A157"/>
      <c r="B157" s="148"/>
      <c r="C157"/>
      <c r="D157"/>
      <c r="E157"/>
      <c r="F157"/>
      <c r="G157"/>
      <c r="H157"/>
      <c r="I157"/>
      <c r="J157"/>
      <c r="K157"/>
      <c r="L157"/>
      <c r="M157" s="23"/>
      <c r="N157" s="99"/>
      <c r="O157" s="99"/>
      <c r="P157" s="99"/>
      <c r="Q157" s="99"/>
      <c r="R157" s="99"/>
      <c r="S157" s="99"/>
      <c r="T157" s="99"/>
      <c r="U157" s="99"/>
      <c r="AH157" s="114"/>
      <c r="AI157" s="114"/>
      <c r="AJ157" s="114"/>
      <c r="AK157" s="115"/>
    </row>
    <row r="158" spans="1:37" ht="15">
      <c r="A158"/>
      <c r="B158" s="148"/>
      <c r="C158"/>
      <c r="D158"/>
      <c r="E158"/>
      <c r="F158"/>
      <c r="G158"/>
      <c r="H158"/>
      <c r="I158"/>
      <c r="J158"/>
      <c r="K158"/>
      <c r="L158"/>
      <c r="M158" s="23"/>
      <c r="N158" s="99"/>
      <c r="O158" s="99"/>
      <c r="P158" s="99"/>
      <c r="Q158" s="99"/>
      <c r="R158" s="99"/>
      <c r="S158" s="99"/>
      <c r="T158" s="99"/>
      <c r="U158" s="99"/>
      <c r="AH158" s="114"/>
      <c r="AI158" s="114"/>
      <c r="AJ158" s="114"/>
      <c r="AK158" s="115"/>
    </row>
    <row r="159" spans="1:37" ht="15">
      <c r="A159"/>
      <c r="B159" s="148"/>
      <c r="C159"/>
      <c r="D159"/>
      <c r="E159"/>
      <c r="F159"/>
      <c r="G159"/>
      <c r="H159"/>
      <c r="I159"/>
      <c r="J159"/>
      <c r="K159"/>
      <c r="L159"/>
      <c r="M159" s="23"/>
      <c r="N159" s="99"/>
      <c r="O159" s="99"/>
      <c r="P159" s="99"/>
      <c r="Q159" s="99"/>
      <c r="R159" s="99"/>
      <c r="S159" s="99"/>
      <c r="T159" s="99"/>
      <c r="U159" s="99"/>
      <c r="AH159" s="114"/>
      <c r="AI159" s="114"/>
      <c r="AJ159" s="114"/>
      <c r="AK159" s="115"/>
    </row>
    <row r="160" spans="1:37" ht="15">
      <c r="A160"/>
      <c r="B160" s="148"/>
      <c r="C160"/>
      <c r="D160"/>
      <c r="E160"/>
      <c r="F160"/>
      <c r="G160"/>
      <c r="H160"/>
      <c r="I160"/>
      <c r="J160"/>
      <c r="K160"/>
      <c r="L160"/>
      <c r="M160" s="23"/>
      <c r="N160" s="99"/>
      <c r="O160" s="99"/>
      <c r="P160" s="99"/>
      <c r="Q160" s="99"/>
      <c r="R160" s="99"/>
      <c r="S160" s="99"/>
      <c r="T160" s="99"/>
      <c r="U160" s="99"/>
      <c r="AH160" s="114"/>
      <c r="AI160" s="114"/>
      <c r="AJ160" s="114"/>
      <c r="AK160" s="115"/>
    </row>
    <row r="161" spans="1:37" ht="15">
      <c r="A161"/>
      <c r="B161" s="148"/>
      <c r="C161"/>
      <c r="D161"/>
      <c r="E161"/>
      <c r="F161"/>
      <c r="G161"/>
      <c r="H161"/>
      <c r="I161"/>
      <c r="J161"/>
      <c r="K161"/>
      <c r="L161"/>
      <c r="M161" s="23"/>
      <c r="N161" s="99"/>
      <c r="O161" s="99"/>
      <c r="P161" s="99"/>
      <c r="Q161" s="99"/>
      <c r="R161" s="99"/>
      <c r="S161" s="99"/>
      <c r="T161" s="99"/>
      <c r="U161" s="99"/>
      <c r="AH161" s="114"/>
      <c r="AI161" s="114"/>
      <c r="AJ161" s="114"/>
      <c r="AK161" s="115"/>
    </row>
    <row r="162" spans="1:37" ht="15">
      <c r="A162"/>
      <c r="B162" s="148"/>
      <c r="C162"/>
      <c r="D162"/>
      <c r="E162"/>
      <c r="F162"/>
      <c r="G162"/>
      <c r="H162"/>
      <c r="I162"/>
      <c r="J162"/>
      <c r="K162"/>
      <c r="L162"/>
      <c r="M162" s="23"/>
      <c r="N162" s="99"/>
      <c r="O162" s="99"/>
      <c r="P162" s="99"/>
      <c r="Q162" s="99"/>
      <c r="R162" s="99"/>
      <c r="S162" s="99"/>
      <c r="T162" s="99"/>
      <c r="U162" s="99"/>
      <c r="AH162" s="114"/>
      <c r="AI162" s="114"/>
      <c r="AJ162" s="114"/>
      <c r="AK162" s="115"/>
    </row>
    <row r="163" spans="1:37" ht="15">
      <c r="A163"/>
      <c r="B163" s="148"/>
      <c r="C163"/>
      <c r="D163"/>
      <c r="E163"/>
      <c r="F163"/>
      <c r="G163"/>
      <c r="H163"/>
      <c r="I163"/>
      <c r="J163"/>
      <c r="K163"/>
      <c r="L163"/>
      <c r="M163" s="23"/>
      <c r="N163" s="99"/>
      <c r="O163" s="99"/>
      <c r="P163" s="99"/>
      <c r="Q163" s="99"/>
      <c r="R163" s="99"/>
      <c r="S163" s="99"/>
      <c r="T163" s="99"/>
      <c r="U163" s="99"/>
      <c r="AH163" s="114"/>
      <c r="AI163" s="114"/>
      <c r="AJ163" s="114"/>
      <c r="AK163" s="115"/>
    </row>
    <row r="164" spans="1:37" ht="15">
      <c r="A164"/>
      <c r="B164" s="148"/>
      <c r="C164"/>
      <c r="D164"/>
      <c r="E164"/>
      <c r="F164"/>
      <c r="G164"/>
      <c r="H164"/>
      <c r="I164"/>
      <c r="J164"/>
      <c r="K164"/>
      <c r="L164"/>
      <c r="M164" s="23"/>
      <c r="N164" s="99"/>
      <c r="O164" s="99"/>
      <c r="P164" s="99"/>
      <c r="Q164" s="99"/>
      <c r="R164" s="99"/>
      <c r="S164" s="99"/>
      <c r="T164" s="99"/>
      <c r="U164" s="99"/>
      <c r="AH164" s="114"/>
      <c r="AI164" s="114"/>
      <c r="AJ164" s="114"/>
      <c r="AK164" s="115"/>
    </row>
    <row r="165" spans="1:37" ht="15">
      <c r="A165"/>
      <c r="B165" s="148"/>
      <c r="C165"/>
      <c r="D165"/>
      <c r="E165"/>
      <c r="F165"/>
      <c r="G165"/>
      <c r="H165"/>
      <c r="I165"/>
      <c r="J165"/>
      <c r="K165"/>
      <c r="L165"/>
      <c r="M165" s="23"/>
      <c r="N165" s="99"/>
      <c r="O165" s="99"/>
      <c r="P165" s="99"/>
      <c r="Q165" s="99"/>
      <c r="R165" s="99"/>
      <c r="S165" s="99"/>
      <c r="T165" s="99"/>
      <c r="U165" s="99"/>
      <c r="AH165" s="114"/>
      <c r="AI165" s="114"/>
      <c r="AJ165" s="114"/>
      <c r="AK165" s="115"/>
    </row>
    <row r="166" spans="1:37" ht="15">
      <c r="A166"/>
      <c r="B166" s="148"/>
      <c r="C166"/>
      <c r="D166"/>
      <c r="E166"/>
      <c r="F166"/>
      <c r="G166"/>
      <c r="H166"/>
      <c r="I166"/>
      <c r="J166"/>
      <c r="K166"/>
      <c r="L166"/>
      <c r="M166" s="23"/>
      <c r="N166" s="99"/>
      <c r="O166" s="99"/>
      <c r="P166" s="99"/>
      <c r="Q166" s="99"/>
      <c r="R166" s="99"/>
      <c r="S166" s="99"/>
      <c r="T166" s="99"/>
      <c r="U166" s="99"/>
      <c r="AH166" s="114"/>
      <c r="AI166" s="114"/>
      <c r="AJ166" s="114"/>
      <c r="AK166" s="115"/>
    </row>
    <row r="167" spans="1:37" ht="15">
      <c r="A167"/>
      <c r="B167" s="148"/>
      <c r="C167"/>
      <c r="D167"/>
      <c r="E167"/>
      <c r="F167"/>
      <c r="G167"/>
      <c r="H167"/>
      <c r="I167"/>
      <c r="J167"/>
      <c r="K167"/>
      <c r="L167"/>
      <c r="M167" s="23"/>
      <c r="N167" s="99"/>
      <c r="O167" s="99"/>
      <c r="P167" s="99"/>
      <c r="Q167" s="99"/>
      <c r="R167" s="99"/>
      <c r="S167" s="99"/>
      <c r="T167" s="99"/>
      <c r="U167" s="99"/>
      <c r="AH167" s="114"/>
      <c r="AI167" s="114"/>
      <c r="AJ167" s="114"/>
      <c r="AK167" s="115"/>
    </row>
    <row r="168" spans="1:37" ht="15">
      <c r="A168"/>
      <c r="B168" s="148"/>
      <c r="C168"/>
      <c r="D168"/>
      <c r="E168"/>
      <c r="F168"/>
      <c r="G168"/>
      <c r="H168"/>
      <c r="I168"/>
      <c r="J168"/>
      <c r="K168"/>
      <c r="L168"/>
      <c r="M168" s="23"/>
      <c r="N168" s="99"/>
      <c r="O168" s="99"/>
      <c r="P168" s="99"/>
      <c r="Q168" s="99"/>
      <c r="R168" s="99"/>
      <c r="S168" s="99"/>
      <c r="T168" s="99"/>
      <c r="U168" s="99"/>
      <c r="AH168" s="114"/>
      <c r="AI168" s="114"/>
      <c r="AJ168" s="114"/>
      <c r="AK168" s="115"/>
    </row>
    <row r="169" spans="1:37" ht="15">
      <c r="A169"/>
      <c r="B169" s="148"/>
      <c r="C169"/>
      <c r="D169"/>
      <c r="E169"/>
      <c r="F169"/>
      <c r="G169"/>
      <c r="H169"/>
      <c r="I169"/>
      <c r="J169"/>
      <c r="K169"/>
      <c r="L169"/>
      <c r="M169" s="23"/>
      <c r="N169" s="99"/>
      <c r="O169" s="99"/>
      <c r="P169" s="99"/>
      <c r="Q169" s="99"/>
      <c r="R169" s="99"/>
      <c r="S169" s="99"/>
      <c r="T169" s="99"/>
      <c r="U169" s="99"/>
      <c r="AH169" s="114"/>
      <c r="AI169" s="114"/>
      <c r="AJ169" s="114"/>
      <c r="AK169" s="115"/>
    </row>
    <row r="170" spans="1:37" ht="15">
      <c r="A170"/>
      <c r="B170" s="148"/>
      <c r="C170"/>
      <c r="D170"/>
      <c r="E170"/>
      <c r="F170"/>
      <c r="G170"/>
      <c r="H170"/>
      <c r="I170"/>
      <c r="J170"/>
      <c r="K170"/>
      <c r="L170"/>
      <c r="M170" s="23"/>
      <c r="N170" s="99"/>
      <c r="O170" s="99"/>
      <c r="P170" s="99"/>
      <c r="Q170" s="99"/>
      <c r="R170" s="99"/>
      <c r="S170" s="99"/>
      <c r="T170" s="99"/>
      <c r="U170" s="99"/>
      <c r="AH170" s="114"/>
      <c r="AI170" s="114"/>
      <c r="AJ170" s="114"/>
      <c r="AK170" s="115"/>
    </row>
    <row r="171" spans="1:37" ht="15">
      <c r="A171"/>
      <c r="B171" s="148"/>
      <c r="C171"/>
      <c r="D171"/>
      <c r="E171"/>
      <c r="F171"/>
      <c r="G171"/>
      <c r="H171"/>
      <c r="I171"/>
      <c r="J171"/>
      <c r="K171"/>
      <c r="L171"/>
      <c r="M171" s="23"/>
      <c r="N171" s="99"/>
      <c r="O171" s="99"/>
      <c r="P171" s="99"/>
      <c r="Q171" s="99"/>
      <c r="R171" s="99"/>
      <c r="S171" s="99"/>
      <c r="T171" s="99"/>
      <c r="U171" s="99"/>
      <c r="AH171" s="114"/>
      <c r="AI171" s="114"/>
      <c r="AJ171" s="114"/>
      <c r="AK171" s="115"/>
    </row>
    <row r="172" spans="1:37" ht="15">
      <c r="A172"/>
      <c r="B172" s="148"/>
      <c r="C172"/>
      <c r="D172"/>
      <c r="E172"/>
      <c r="F172"/>
      <c r="G172"/>
      <c r="H172"/>
      <c r="I172"/>
      <c r="J172"/>
      <c r="K172"/>
      <c r="L172"/>
      <c r="M172" s="23"/>
      <c r="N172" s="99"/>
      <c r="O172" s="99"/>
      <c r="P172" s="99"/>
      <c r="Q172" s="99"/>
      <c r="R172" s="99"/>
      <c r="S172" s="99"/>
      <c r="T172" s="99"/>
      <c r="U172" s="99"/>
      <c r="AH172" s="114"/>
      <c r="AI172" s="114"/>
      <c r="AJ172" s="114"/>
      <c r="AK172" s="115"/>
    </row>
    <row r="173" spans="1:37" ht="15">
      <c r="A173"/>
      <c r="B173" s="148"/>
      <c r="C173"/>
      <c r="D173"/>
      <c r="E173"/>
      <c r="F173"/>
      <c r="G173"/>
      <c r="H173"/>
      <c r="I173"/>
      <c r="J173"/>
      <c r="K173"/>
      <c r="L173"/>
      <c r="M173" s="23"/>
      <c r="N173" s="99"/>
      <c r="O173" s="99"/>
      <c r="P173" s="99"/>
      <c r="Q173" s="99"/>
      <c r="R173" s="99"/>
      <c r="S173" s="99"/>
      <c r="T173" s="99"/>
      <c r="U173" s="99"/>
      <c r="AH173" s="114"/>
      <c r="AI173" s="114"/>
      <c r="AJ173" s="114"/>
      <c r="AK173" s="115"/>
    </row>
    <row r="174" spans="1:37" ht="15">
      <c r="A174"/>
      <c r="B174" s="148"/>
      <c r="C174"/>
      <c r="D174"/>
      <c r="E174"/>
      <c r="F174"/>
      <c r="G174"/>
      <c r="H174"/>
      <c r="I174"/>
      <c r="J174"/>
      <c r="K174"/>
      <c r="L174"/>
      <c r="M174" s="23"/>
      <c r="N174" s="99"/>
      <c r="O174" s="99"/>
      <c r="P174" s="99"/>
      <c r="Q174" s="99"/>
      <c r="R174" s="99"/>
      <c r="S174" s="99"/>
      <c r="T174" s="99"/>
      <c r="U174" s="99"/>
      <c r="AH174" s="114"/>
      <c r="AI174" s="114"/>
      <c r="AJ174" s="114"/>
      <c r="AK174" s="115"/>
    </row>
    <row r="175" spans="1:37" ht="15">
      <c r="A175"/>
      <c r="B175" s="148"/>
      <c r="C175"/>
      <c r="D175"/>
      <c r="E175"/>
      <c r="F175"/>
      <c r="G175"/>
      <c r="H175"/>
      <c r="I175"/>
      <c r="J175"/>
      <c r="K175"/>
      <c r="L175"/>
      <c r="M175" s="23"/>
      <c r="N175" s="99"/>
      <c r="O175" s="99"/>
      <c r="P175" s="99"/>
      <c r="Q175" s="99"/>
      <c r="R175" s="99"/>
      <c r="S175" s="99"/>
      <c r="T175" s="99"/>
      <c r="U175" s="99"/>
      <c r="AH175" s="114"/>
      <c r="AI175" s="114"/>
      <c r="AJ175" s="114"/>
      <c r="AK175" s="115"/>
    </row>
    <row r="176" spans="1:37" ht="15">
      <c r="A176"/>
      <c r="B176" s="148"/>
      <c r="C176"/>
      <c r="D176"/>
      <c r="E176"/>
      <c r="F176"/>
      <c r="G176"/>
      <c r="H176"/>
      <c r="I176"/>
      <c r="J176"/>
      <c r="K176"/>
      <c r="L176"/>
      <c r="M176" s="23"/>
      <c r="N176" s="99"/>
      <c r="O176" s="99"/>
      <c r="P176" s="99"/>
      <c r="Q176" s="99"/>
      <c r="R176" s="99"/>
      <c r="S176" s="99"/>
      <c r="T176" s="99"/>
      <c r="U176" s="99"/>
      <c r="AH176" s="114"/>
      <c r="AI176" s="114"/>
      <c r="AJ176" s="114"/>
      <c r="AK176" s="115"/>
    </row>
    <row r="177" spans="1:37" ht="15">
      <c r="A177"/>
      <c r="B177" s="148"/>
      <c r="C177"/>
      <c r="D177"/>
      <c r="E177"/>
      <c r="F177"/>
      <c r="G177"/>
      <c r="H177"/>
      <c r="I177"/>
      <c r="J177"/>
      <c r="K177"/>
      <c r="L177"/>
      <c r="M177" s="23"/>
      <c r="N177" s="99"/>
      <c r="O177" s="99"/>
      <c r="P177" s="99"/>
      <c r="Q177" s="99"/>
      <c r="R177" s="99"/>
      <c r="S177" s="99"/>
      <c r="T177" s="99"/>
      <c r="U177" s="99"/>
      <c r="AH177" s="114"/>
      <c r="AI177" s="114"/>
      <c r="AJ177" s="114"/>
      <c r="AK177" s="115"/>
    </row>
    <row r="178" spans="1:37" ht="15">
      <c r="A178"/>
      <c r="B178" s="148"/>
      <c r="C178"/>
      <c r="D178"/>
      <c r="E178"/>
      <c r="F178"/>
      <c r="G178"/>
      <c r="H178"/>
      <c r="I178"/>
      <c r="J178"/>
      <c r="K178"/>
      <c r="L178"/>
      <c r="M178" s="23"/>
      <c r="N178" s="99"/>
      <c r="O178" s="99"/>
      <c r="P178" s="99"/>
      <c r="Q178" s="99"/>
      <c r="R178" s="99"/>
      <c r="S178" s="99"/>
      <c r="T178" s="99"/>
      <c r="U178" s="99"/>
      <c r="AH178" s="114"/>
      <c r="AI178" s="114"/>
      <c r="AJ178" s="114"/>
      <c r="AK178" s="115"/>
    </row>
    <row r="179" spans="1:37" ht="15">
      <c r="A179"/>
      <c r="B179" s="148"/>
      <c r="C179"/>
      <c r="D179"/>
      <c r="E179"/>
      <c r="F179"/>
      <c r="G179"/>
      <c r="H179"/>
      <c r="I179"/>
      <c r="J179"/>
      <c r="K179"/>
      <c r="L179"/>
      <c r="M179" s="23"/>
      <c r="N179" s="99"/>
      <c r="O179" s="99"/>
      <c r="P179" s="99"/>
      <c r="Q179" s="99"/>
      <c r="R179" s="99"/>
      <c r="S179" s="99"/>
      <c r="T179" s="99"/>
      <c r="U179" s="99"/>
      <c r="AH179" s="114"/>
      <c r="AI179" s="114"/>
      <c r="AJ179" s="114"/>
      <c r="AK179" s="115"/>
    </row>
    <row r="180" spans="1:37" ht="15">
      <c r="A180"/>
      <c r="B180" s="148"/>
      <c r="C180"/>
      <c r="D180"/>
      <c r="E180"/>
      <c r="F180"/>
      <c r="G180"/>
      <c r="H180"/>
      <c r="I180"/>
      <c r="J180"/>
      <c r="K180"/>
      <c r="L180"/>
      <c r="M180" s="23"/>
      <c r="N180" s="99"/>
      <c r="O180" s="99"/>
      <c r="P180" s="99"/>
      <c r="Q180" s="99"/>
      <c r="R180" s="99"/>
      <c r="S180" s="99"/>
      <c r="T180" s="99"/>
      <c r="U180" s="99"/>
      <c r="AH180" s="114"/>
      <c r="AI180" s="114"/>
      <c r="AJ180" s="114"/>
      <c r="AK180" s="115"/>
    </row>
    <row r="181" spans="1:37" ht="15">
      <c r="A181"/>
      <c r="B181" s="148"/>
      <c r="C181"/>
      <c r="D181"/>
      <c r="E181"/>
      <c r="F181"/>
      <c r="G181"/>
      <c r="H181"/>
      <c r="I181"/>
      <c r="J181"/>
      <c r="K181"/>
      <c r="L181"/>
      <c r="M181" s="23"/>
      <c r="N181" s="99"/>
      <c r="O181" s="99"/>
      <c r="P181" s="99"/>
      <c r="Q181" s="99"/>
      <c r="R181" s="99"/>
      <c r="S181" s="99"/>
      <c r="T181" s="99"/>
      <c r="U181" s="99"/>
      <c r="AH181" s="114"/>
      <c r="AI181" s="114"/>
      <c r="AJ181" s="114"/>
      <c r="AK181" s="115"/>
    </row>
    <row r="182" spans="1:37" ht="15">
      <c r="A182"/>
      <c r="B182" s="148"/>
      <c r="C182"/>
      <c r="D182"/>
      <c r="E182"/>
      <c r="F182"/>
      <c r="G182"/>
      <c r="H182"/>
      <c r="I182"/>
      <c r="J182"/>
      <c r="K182"/>
      <c r="L182"/>
      <c r="M182" s="23"/>
      <c r="N182" s="99"/>
      <c r="O182" s="99"/>
      <c r="P182" s="99"/>
      <c r="Q182" s="99"/>
      <c r="R182" s="99"/>
      <c r="S182" s="99"/>
      <c r="T182" s="99"/>
      <c r="U182" s="99"/>
      <c r="AH182" s="114"/>
      <c r="AI182" s="114"/>
      <c r="AJ182" s="114"/>
      <c r="AK182" s="115"/>
    </row>
    <row r="183" spans="1:37" ht="15">
      <c r="A183"/>
      <c r="B183" s="148"/>
      <c r="C183"/>
      <c r="D183"/>
      <c r="E183"/>
      <c r="F183"/>
      <c r="G183"/>
      <c r="H183"/>
      <c r="I183"/>
      <c r="J183"/>
      <c r="K183"/>
      <c r="L183"/>
      <c r="M183" s="23"/>
      <c r="N183" s="99"/>
      <c r="O183" s="99"/>
      <c r="P183" s="99"/>
      <c r="Q183" s="99"/>
      <c r="R183" s="99"/>
      <c r="S183" s="99"/>
      <c r="T183" s="99"/>
      <c r="U183" s="99"/>
      <c r="AH183" s="114"/>
      <c r="AI183" s="114"/>
      <c r="AJ183" s="114"/>
      <c r="AK183" s="115"/>
    </row>
    <row r="184" spans="1:37" ht="15">
      <c r="A184"/>
      <c r="B184" s="148"/>
      <c r="C184"/>
      <c r="D184"/>
      <c r="E184"/>
      <c r="F184"/>
      <c r="G184"/>
      <c r="H184"/>
      <c r="I184"/>
      <c r="J184"/>
      <c r="K184"/>
      <c r="L184"/>
      <c r="M184" s="23"/>
      <c r="N184" s="99"/>
      <c r="O184" s="99"/>
      <c r="P184" s="99"/>
      <c r="Q184" s="99"/>
      <c r="R184" s="99"/>
      <c r="S184" s="99"/>
      <c r="T184" s="99"/>
      <c r="U184" s="99"/>
      <c r="AH184" s="114"/>
      <c r="AI184" s="114"/>
      <c r="AJ184" s="114"/>
      <c r="AK184" s="115"/>
    </row>
    <row r="185" spans="1:37" ht="15">
      <c r="A185"/>
      <c r="B185" s="148"/>
      <c r="C185"/>
      <c r="D185"/>
      <c r="E185"/>
      <c r="F185"/>
      <c r="G185"/>
      <c r="H185"/>
      <c r="I185"/>
      <c r="J185"/>
      <c r="K185"/>
      <c r="L185"/>
      <c r="M185" s="23"/>
      <c r="N185" s="99"/>
      <c r="O185" s="99"/>
      <c r="P185" s="99"/>
      <c r="Q185" s="99"/>
      <c r="R185" s="99"/>
      <c r="S185" s="99"/>
      <c r="T185" s="99"/>
      <c r="U185" s="99"/>
      <c r="AH185" s="114"/>
      <c r="AI185" s="114"/>
      <c r="AJ185" s="114"/>
      <c r="AK185" s="115"/>
    </row>
    <row r="186" spans="1:37" ht="15">
      <c r="A186"/>
      <c r="B186" s="148"/>
      <c r="C186"/>
      <c r="D186"/>
      <c r="E186"/>
      <c r="F186"/>
      <c r="G186"/>
      <c r="H186"/>
      <c r="I186"/>
      <c r="J186"/>
      <c r="K186"/>
      <c r="L186"/>
      <c r="M186" s="23"/>
      <c r="N186" s="99"/>
      <c r="O186" s="99"/>
      <c r="P186" s="99"/>
      <c r="Q186" s="99"/>
      <c r="R186" s="99"/>
      <c r="S186" s="99"/>
      <c r="T186" s="99"/>
      <c r="U186" s="99"/>
      <c r="AH186" s="114"/>
      <c r="AI186" s="114"/>
      <c r="AJ186" s="114"/>
      <c r="AK186" s="115"/>
    </row>
    <row r="187" spans="1:37" ht="15">
      <c r="A187"/>
      <c r="B187" s="148"/>
      <c r="C187"/>
      <c r="D187"/>
      <c r="E187"/>
      <c r="F187"/>
      <c r="G187"/>
      <c r="H187"/>
      <c r="I187"/>
      <c r="J187"/>
      <c r="K187"/>
      <c r="L187"/>
      <c r="M187" s="23"/>
      <c r="N187" s="99"/>
      <c r="O187" s="99"/>
      <c r="P187" s="99"/>
      <c r="Q187" s="99"/>
      <c r="R187" s="99"/>
      <c r="S187" s="99"/>
      <c r="T187" s="99"/>
      <c r="U187" s="99"/>
      <c r="AH187" s="114"/>
      <c r="AI187" s="114"/>
      <c r="AJ187" s="114"/>
      <c r="AK187" s="115"/>
    </row>
    <row r="188" spans="1:37" ht="15">
      <c r="A188"/>
      <c r="B188" s="148"/>
      <c r="C188"/>
      <c r="D188"/>
      <c r="E188"/>
      <c r="F188"/>
      <c r="G188"/>
      <c r="H188"/>
      <c r="I188"/>
      <c r="J188"/>
      <c r="K188"/>
      <c r="L188"/>
      <c r="M188" s="23"/>
      <c r="N188" s="99"/>
      <c r="O188" s="99"/>
      <c r="P188" s="99"/>
      <c r="Q188" s="99"/>
      <c r="R188" s="99"/>
      <c r="S188" s="99"/>
      <c r="T188" s="99"/>
      <c r="U188" s="99"/>
      <c r="AH188" s="114"/>
      <c r="AI188" s="114"/>
      <c r="AJ188" s="114"/>
      <c r="AK188" s="115"/>
    </row>
    <row r="189" spans="1:37" ht="15">
      <c r="A189"/>
      <c r="B189" s="148"/>
      <c r="C189"/>
      <c r="D189"/>
      <c r="E189"/>
      <c r="F189"/>
      <c r="G189"/>
      <c r="H189"/>
      <c r="I189"/>
      <c r="J189"/>
      <c r="K189"/>
      <c r="L189"/>
      <c r="M189" s="23"/>
      <c r="N189" s="99"/>
      <c r="O189" s="99"/>
      <c r="P189" s="99"/>
      <c r="Q189" s="99"/>
      <c r="R189" s="99"/>
      <c r="S189" s="99"/>
      <c r="T189" s="99"/>
      <c r="U189" s="99"/>
      <c r="AH189" s="114"/>
      <c r="AI189" s="114"/>
      <c r="AJ189" s="114"/>
      <c r="AK189" s="115"/>
    </row>
    <row r="190" spans="1:37" ht="15">
      <c r="A190"/>
      <c r="B190" s="148"/>
      <c r="C190"/>
      <c r="D190"/>
      <c r="E190"/>
      <c r="F190"/>
      <c r="G190"/>
      <c r="H190"/>
      <c r="I190"/>
      <c r="J190"/>
      <c r="K190"/>
      <c r="L190"/>
      <c r="M190" s="23"/>
      <c r="N190" s="99"/>
      <c r="O190" s="99"/>
      <c r="P190" s="99"/>
      <c r="Q190" s="99"/>
      <c r="R190" s="99"/>
      <c r="S190" s="99"/>
      <c r="T190" s="99"/>
      <c r="U190" s="99"/>
      <c r="AH190" s="114"/>
      <c r="AI190" s="114"/>
      <c r="AJ190" s="114"/>
      <c r="AK190" s="115"/>
    </row>
    <row r="191" spans="1:37" ht="15">
      <c r="A191"/>
      <c r="B191" s="148"/>
      <c r="C191"/>
      <c r="D191"/>
      <c r="E191"/>
      <c r="F191"/>
      <c r="G191"/>
      <c r="H191"/>
      <c r="I191"/>
      <c r="J191"/>
      <c r="K191"/>
      <c r="L191"/>
      <c r="M191" s="23"/>
      <c r="N191" s="99"/>
      <c r="O191" s="99"/>
      <c r="P191" s="99"/>
      <c r="Q191" s="99"/>
      <c r="R191" s="99"/>
      <c r="S191" s="99"/>
      <c r="T191" s="99"/>
      <c r="U191" s="99"/>
      <c r="AH191" s="114"/>
      <c r="AI191" s="114"/>
      <c r="AJ191" s="114"/>
      <c r="AK191" s="115"/>
    </row>
    <row r="192" spans="1:37" ht="15">
      <c r="A192"/>
      <c r="B192" s="148"/>
      <c r="C192"/>
      <c r="D192"/>
      <c r="E192"/>
      <c r="F192"/>
      <c r="G192"/>
      <c r="H192"/>
      <c r="I192"/>
      <c r="J192"/>
      <c r="K192"/>
      <c r="L192"/>
      <c r="M192" s="23"/>
      <c r="N192" s="99"/>
      <c r="O192" s="99"/>
      <c r="P192" s="99"/>
      <c r="Q192" s="99"/>
      <c r="R192" s="99"/>
      <c r="S192" s="99"/>
      <c r="T192" s="99"/>
      <c r="U192" s="99"/>
      <c r="AH192" s="114"/>
      <c r="AI192" s="114"/>
      <c r="AJ192" s="114"/>
      <c r="AK192" s="115"/>
    </row>
    <row r="193" spans="1:37" ht="15">
      <c r="A193"/>
      <c r="B193" s="148"/>
      <c r="C193"/>
      <c r="D193"/>
      <c r="E193"/>
      <c r="F193"/>
      <c r="G193"/>
      <c r="H193"/>
      <c r="I193"/>
      <c r="J193"/>
      <c r="K193"/>
      <c r="L193"/>
      <c r="M193" s="23"/>
      <c r="N193" s="99"/>
      <c r="O193" s="99"/>
      <c r="P193" s="99"/>
      <c r="Q193" s="99"/>
      <c r="R193" s="99"/>
      <c r="S193" s="99"/>
      <c r="T193" s="99"/>
      <c r="U193" s="99"/>
      <c r="AH193" s="114"/>
      <c r="AI193" s="114"/>
      <c r="AJ193" s="114"/>
      <c r="AK193" s="115"/>
    </row>
    <row r="194" spans="1:37" ht="15">
      <c r="A194"/>
      <c r="B194" s="148"/>
      <c r="C194"/>
      <c r="D194"/>
      <c r="E194"/>
      <c r="F194"/>
      <c r="G194"/>
      <c r="H194"/>
      <c r="I194"/>
      <c r="J194"/>
      <c r="K194"/>
      <c r="L194"/>
      <c r="M194" s="23"/>
      <c r="N194" s="99"/>
      <c r="O194" s="99"/>
      <c r="P194" s="99"/>
      <c r="Q194" s="99"/>
      <c r="R194" s="99"/>
      <c r="S194" s="99"/>
      <c r="T194" s="99"/>
      <c r="U194" s="99"/>
      <c r="AH194" s="114"/>
      <c r="AI194" s="114"/>
      <c r="AJ194" s="114"/>
      <c r="AK194" s="115"/>
    </row>
    <row r="195" spans="1:37" ht="15">
      <c r="A195"/>
      <c r="B195" s="148"/>
      <c r="C195"/>
      <c r="D195"/>
      <c r="E195"/>
      <c r="F195"/>
      <c r="G195"/>
      <c r="H195"/>
      <c r="I195"/>
      <c r="J195"/>
      <c r="K195"/>
      <c r="L195"/>
      <c r="M195" s="23"/>
      <c r="N195" s="99"/>
      <c r="O195" s="99"/>
      <c r="P195" s="99"/>
      <c r="Q195" s="99"/>
      <c r="R195" s="99"/>
      <c r="S195" s="99"/>
      <c r="T195" s="99"/>
      <c r="U195" s="99"/>
      <c r="AH195" s="114"/>
      <c r="AI195" s="114"/>
      <c r="AJ195" s="114"/>
      <c r="AK195" s="115"/>
    </row>
    <row r="196" spans="1:37" ht="15">
      <c r="A196"/>
      <c r="B196" s="148"/>
      <c r="C196"/>
      <c r="D196"/>
      <c r="E196"/>
      <c r="F196"/>
      <c r="G196"/>
      <c r="H196"/>
      <c r="I196"/>
      <c r="J196"/>
      <c r="K196"/>
      <c r="L196"/>
      <c r="M196" s="23"/>
      <c r="N196" s="99"/>
      <c r="O196" s="99"/>
      <c r="P196" s="99"/>
      <c r="Q196" s="99"/>
      <c r="R196" s="99"/>
      <c r="S196" s="99"/>
      <c r="T196" s="99"/>
      <c r="U196" s="99"/>
      <c r="AH196" s="114"/>
      <c r="AI196" s="114"/>
      <c r="AJ196" s="114"/>
      <c r="AK196" s="115"/>
    </row>
    <row r="197" spans="1:37" ht="15">
      <c r="A197"/>
      <c r="B197" s="148"/>
      <c r="C197"/>
      <c r="D197"/>
      <c r="E197"/>
      <c r="F197"/>
      <c r="G197"/>
      <c r="H197"/>
      <c r="I197"/>
      <c r="J197"/>
      <c r="K197"/>
      <c r="L197"/>
      <c r="M197" s="23"/>
      <c r="N197" s="99"/>
      <c r="O197" s="99"/>
      <c r="P197" s="99"/>
      <c r="Q197" s="99"/>
      <c r="R197" s="99"/>
      <c r="S197" s="99"/>
      <c r="T197" s="99"/>
      <c r="U197" s="99"/>
      <c r="AH197" s="114"/>
      <c r="AI197" s="114"/>
      <c r="AJ197" s="114"/>
      <c r="AK197" s="115"/>
    </row>
    <row r="198" spans="1:37" ht="15">
      <c r="A198"/>
      <c r="B198" s="148"/>
      <c r="C198"/>
      <c r="D198"/>
      <c r="E198"/>
      <c r="F198"/>
      <c r="G198"/>
      <c r="H198"/>
      <c r="I198"/>
      <c r="J198"/>
      <c r="K198"/>
      <c r="L198"/>
      <c r="M198" s="23"/>
      <c r="N198" s="99"/>
      <c r="O198" s="99"/>
      <c r="P198" s="99"/>
      <c r="Q198" s="99"/>
      <c r="R198" s="99"/>
      <c r="S198" s="99"/>
      <c r="T198" s="99"/>
      <c r="U198" s="99"/>
      <c r="AH198" s="114"/>
      <c r="AI198" s="114"/>
      <c r="AJ198" s="114"/>
      <c r="AK198" s="115"/>
    </row>
    <row r="199" spans="1:37" ht="15">
      <c r="A199"/>
      <c r="B199" s="148"/>
      <c r="C199"/>
      <c r="D199"/>
      <c r="E199"/>
      <c r="F199"/>
      <c r="G199"/>
      <c r="H199"/>
      <c r="I199"/>
      <c r="J199"/>
      <c r="K199"/>
      <c r="L199"/>
      <c r="M199" s="23"/>
      <c r="N199" s="99"/>
      <c r="O199" s="99"/>
      <c r="P199" s="99"/>
      <c r="Q199" s="99"/>
      <c r="R199" s="99"/>
      <c r="S199" s="99"/>
      <c r="T199" s="99"/>
      <c r="U199" s="99"/>
      <c r="AH199" s="114"/>
      <c r="AI199" s="114"/>
      <c r="AJ199" s="114"/>
      <c r="AK199" s="115"/>
    </row>
    <row r="200" spans="1:37" ht="15">
      <c r="A200"/>
      <c r="B200" s="148"/>
      <c r="C200"/>
      <c r="D200"/>
      <c r="E200"/>
      <c r="F200"/>
      <c r="G200"/>
      <c r="H200"/>
      <c r="I200"/>
      <c r="J200"/>
      <c r="K200"/>
      <c r="L200"/>
      <c r="M200" s="23"/>
      <c r="N200" s="99"/>
      <c r="O200" s="99"/>
      <c r="P200" s="99"/>
      <c r="Q200" s="99"/>
      <c r="R200" s="99"/>
      <c r="S200" s="99"/>
      <c r="T200" s="99"/>
      <c r="U200" s="99"/>
      <c r="AH200" s="114"/>
      <c r="AI200" s="114"/>
      <c r="AJ200" s="114"/>
      <c r="AK200" s="115"/>
    </row>
    <row r="201" spans="1:37" ht="15">
      <c r="A201"/>
      <c r="B201" s="148"/>
      <c r="C201"/>
      <c r="D201"/>
      <c r="E201"/>
      <c r="F201"/>
      <c r="G201"/>
      <c r="H201"/>
      <c r="I201"/>
      <c r="J201"/>
      <c r="K201"/>
      <c r="L201"/>
      <c r="M201" s="23"/>
      <c r="N201" s="99"/>
      <c r="O201" s="99"/>
      <c r="P201" s="99"/>
      <c r="Q201" s="99"/>
      <c r="R201" s="99"/>
      <c r="S201" s="99"/>
      <c r="T201" s="99"/>
      <c r="U201" s="99"/>
      <c r="AH201" s="114"/>
      <c r="AI201" s="114"/>
      <c r="AJ201" s="114"/>
      <c r="AK201" s="115"/>
    </row>
    <row r="202" spans="1:37" ht="15">
      <c r="A202"/>
      <c r="B202" s="148"/>
      <c r="C202"/>
      <c r="D202"/>
      <c r="E202"/>
      <c r="F202"/>
      <c r="G202"/>
      <c r="H202"/>
      <c r="I202"/>
      <c r="J202"/>
      <c r="K202"/>
      <c r="L202"/>
      <c r="M202" s="23"/>
      <c r="N202" s="99"/>
      <c r="O202" s="99"/>
      <c r="P202" s="99"/>
      <c r="Q202" s="99"/>
      <c r="R202" s="99"/>
      <c r="S202" s="99"/>
      <c r="T202" s="99"/>
      <c r="U202" s="99"/>
      <c r="AH202" s="114"/>
      <c r="AI202" s="114"/>
      <c r="AJ202" s="114"/>
      <c r="AK202" s="115"/>
    </row>
    <row r="203" spans="1:37" ht="15">
      <c r="A203"/>
      <c r="B203" s="148"/>
      <c r="C203"/>
      <c r="D203"/>
      <c r="E203"/>
      <c r="F203"/>
      <c r="G203"/>
      <c r="H203"/>
      <c r="I203"/>
      <c r="J203"/>
      <c r="K203"/>
      <c r="L203"/>
      <c r="M203" s="23"/>
      <c r="N203" s="99"/>
      <c r="O203" s="99"/>
      <c r="P203" s="99"/>
      <c r="Q203" s="99"/>
      <c r="R203" s="99"/>
      <c r="S203" s="99"/>
      <c r="T203" s="99"/>
      <c r="U203" s="99"/>
      <c r="AH203" s="114"/>
      <c r="AI203" s="114"/>
      <c r="AJ203" s="114"/>
      <c r="AK203" s="115"/>
    </row>
    <row r="204" spans="1:37" ht="15">
      <c r="A204"/>
      <c r="B204" s="148"/>
      <c r="C204"/>
      <c r="D204"/>
      <c r="E204"/>
      <c r="F204"/>
      <c r="G204"/>
      <c r="H204"/>
      <c r="I204"/>
      <c r="J204"/>
      <c r="K204"/>
      <c r="L204"/>
      <c r="M204" s="23"/>
      <c r="N204" s="99"/>
      <c r="O204" s="99"/>
      <c r="P204" s="99"/>
      <c r="Q204" s="99"/>
      <c r="R204" s="99"/>
      <c r="S204" s="99"/>
      <c r="T204" s="99"/>
      <c r="U204" s="99"/>
      <c r="AH204" s="114"/>
      <c r="AI204" s="114"/>
      <c r="AJ204" s="114"/>
      <c r="AK204" s="115"/>
    </row>
    <row r="205" spans="1:37" ht="15">
      <c r="A205"/>
      <c r="B205" s="148"/>
      <c r="C205"/>
      <c r="D205"/>
      <c r="E205"/>
      <c r="F205"/>
      <c r="G205"/>
      <c r="H205"/>
      <c r="I205"/>
      <c r="J205"/>
      <c r="K205"/>
      <c r="L205"/>
      <c r="M205" s="23"/>
      <c r="N205" s="99"/>
      <c r="O205" s="99"/>
      <c r="P205" s="99"/>
      <c r="Q205" s="99"/>
      <c r="R205" s="99"/>
      <c r="S205" s="99"/>
      <c r="T205" s="99"/>
      <c r="U205" s="99"/>
      <c r="AH205" s="114"/>
      <c r="AI205" s="114"/>
      <c r="AJ205" s="114"/>
      <c r="AK205" s="115"/>
    </row>
    <row r="206" spans="1:37" ht="15">
      <c r="A206"/>
      <c r="B206" s="148"/>
      <c r="C206"/>
      <c r="D206"/>
      <c r="E206"/>
      <c r="F206"/>
      <c r="G206"/>
      <c r="H206"/>
      <c r="I206"/>
      <c r="J206"/>
      <c r="K206"/>
      <c r="L206"/>
      <c r="M206" s="23"/>
      <c r="N206" s="99"/>
      <c r="O206" s="99"/>
      <c r="P206" s="99"/>
      <c r="Q206" s="99"/>
      <c r="R206" s="99"/>
      <c r="S206" s="99"/>
      <c r="T206" s="99"/>
      <c r="U206" s="99"/>
      <c r="AH206" s="114"/>
      <c r="AI206" s="114"/>
      <c r="AJ206" s="114"/>
      <c r="AK206" s="115"/>
    </row>
    <row r="207" spans="1:37" ht="15">
      <c r="A207"/>
      <c r="B207" s="148"/>
      <c r="C207"/>
      <c r="D207"/>
      <c r="E207"/>
      <c r="F207"/>
      <c r="G207"/>
      <c r="H207"/>
      <c r="I207"/>
      <c r="J207"/>
      <c r="K207"/>
      <c r="L207"/>
      <c r="M207" s="23"/>
      <c r="N207" s="99"/>
      <c r="O207" s="99"/>
      <c r="P207" s="99"/>
      <c r="Q207" s="99"/>
      <c r="R207" s="99"/>
      <c r="S207" s="99"/>
      <c r="T207" s="99"/>
      <c r="U207" s="99"/>
      <c r="AH207" s="114"/>
      <c r="AI207" s="114"/>
      <c r="AJ207" s="114"/>
      <c r="AK207" s="115"/>
    </row>
    <row r="208" spans="1:37" ht="15">
      <c r="A208"/>
      <c r="B208" s="148"/>
      <c r="C208"/>
      <c r="D208"/>
      <c r="E208"/>
      <c r="F208"/>
      <c r="G208"/>
      <c r="H208"/>
      <c r="I208"/>
      <c r="J208"/>
      <c r="K208"/>
      <c r="L208"/>
      <c r="M208" s="23"/>
      <c r="N208" s="99"/>
      <c r="O208" s="99"/>
      <c r="P208" s="99"/>
      <c r="Q208" s="99"/>
      <c r="R208" s="99"/>
      <c r="S208" s="99"/>
      <c r="T208" s="99"/>
      <c r="U208" s="99"/>
      <c r="AH208" s="114"/>
      <c r="AI208" s="114"/>
      <c r="AJ208" s="114"/>
      <c r="AK208" s="115"/>
    </row>
    <row r="209" spans="1:37" ht="15">
      <c r="A209"/>
      <c r="B209" s="148"/>
      <c r="C209"/>
      <c r="D209"/>
      <c r="E209"/>
      <c r="F209"/>
      <c r="G209"/>
      <c r="H209"/>
      <c r="I209"/>
      <c r="J209"/>
      <c r="K209"/>
      <c r="L209"/>
      <c r="M209" s="23"/>
      <c r="N209" s="99"/>
      <c r="O209" s="99"/>
      <c r="P209" s="99"/>
      <c r="Q209" s="99"/>
      <c r="R209" s="99"/>
      <c r="S209" s="99"/>
      <c r="T209" s="99"/>
      <c r="U209" s="99"/>
      <c r="AH209" s="114"/>
      <c r="AI209" s="114"/>
      <c r="AJ209" s="114"/>
      <c r="AK209" s="115"/>
    </row>
    <row r="210" spans="1:37" ht="15">
      <c r="A210"/>
      <c r="B210" s="148"/>
      <c r="C210"/>
      <c r="D210"/>
      <c r="E210"/>
      <c r="F210"/>
      <c r="G210"/>
      <c r="H210"/>
      <c r="I210"/>
      <c r="J210"/>
      <c r="K210"/>
      <c r="L210"/>
      <c r="M210" s="23"/>
      <c r="N210" s="99"/>
      <c r="O210" s="99"/>
      <c r="P210" s="99"/>
      <c r="Q210" s="99"/>
      <c r="R210" s="99"/>
      <c r="S210" s="99"/>
      <c r="T210" s="99"/>
      <c r="U210" s="99"/>
      <c r="AH210" s="114"/>
      <c r="AI210" s="114"/>
      <c r="AJ210" s="114"/>
      <c r="AK210" s="115"/>
    </row>
    <row r="211" spans="1:37" ht="15">
      <c r="A211"/>
      <c r="B211" s="148"/>
      <c r="C211"/>
      <c r="D211"/>
      <c r="E211"/>
      <c r="F211"/>
      <c r="G211"/>
      <c r="H211"/>
      <c r="I211"/>
      <c r="J211"/>
      <c r="K211"/>
      <c r="L211"/>
      <c r="M211" s="23"/>
      <c r="N211" s="99"/>
      <c r="O211" s="99"/>
      <c r="P211" s="99"/>
      <c r="Q211" s="99"/>
      <c r="R211" s="99"/>
      <c r="S211" s="99"/>
      <c r="T211" s="99"/>
      <c r="U211" s="99"/>
      <c r="AH211" s="114"/>
      <c r="AI211" s="114"/>
      <c r="AJ211" s="114"/>
      <c r="AK211" s="115"/>
    </row>
    <row r="212" spans="1:37" ht="15">
      <c r="A212"/>
      <c r="B212" s="148"/>
      <c r="C212"/>
      <c r="D212"/>
      <c r="E212"/>
      <c r="F212"/>
      <c r="G212"/>
      <c r="H212"/>
      <c r="I212"/>
      <c r="J212"/>
      <c r="K212"/>
      <c r="L212"/>
      <c r="M212" s="23"/>
      <c r="N212" s="99"/>
      <c r="O212" s="99"/>
      <c r="P212" s="99"/>
      <c r="Q212" s="99"/>
      <c r="R212" s="99"/>
      <c r="S212" s="99"/>
      <c r="T212" s="99"/>
      <c r="U212" s="99"/>
      <c r="AH212" s="114"/>
      <c r="AI212" s="114"/>
      <c r="AJ212" s="114"/>
      <c r="AK212" s="115"/>
    </row>
    <row r="213" spans="1:37" ht="15">
      <c r="A213"/>
      <c r="B213" s="148"/>
      <c r="C213"/>
      <c r="D213"/>
      <c r="E213"/>
      <c r="F213"/>
      <c r="G213"/>
      <c r="H213"/>
      <c r="I213"/>
      <c r="J213"/>
      <c r="K213"/>
      <c r="L213"/>
      <c r="M213" s="23"/>
      <c r="N213" s="99"/>
      <c r="O213" s="99"/>
      <c r="P213" s="99"/>
      <c r="Q213" s="99"/>
      <c r="R213" s="99"/>
      <c r="S213" s="99"/>
      <c r="T213" s="99"/>
      <c r="U213" s="99"/>
      <c r="AH213" s="114"/>
      <c r="AI213" s="114"/>
      <c r="AJ213" s="114"/>
      <c r="AK213" s="115"/>
    </row>
    <row r="214" spans="1:37" ht="15">
      <c r="A214"/>
      <c r="B214" s="148"/>
      <c r="C214"/>
      <c r="D214"/>
      <c r="E214"/>
      <c r="F214"/>
      <c r="G214"/>
      <c r="H214"/>
      <c r="I214"/>
      <c r="J214"/>
      <c r="K214"/>
      <c r="L214"/>
      <c r="M214" s="23"/>
      <c r="N214" s="99"/>
      <c r="O214" s="99"/>
      <c r="P214" s="99"/>
      <c r="Q214" s="99"/>
      <c r="R214" s="99"/>
      <c r="S214" s="99"/>
      <c r="T214" s="99"/>
      <c r="U214" s="99"/>
      <c r="AH214" s="114"/>
      <c r="AI214" s="114"/>
      <c r="AJ214" s="114"/>
      <c r="AK214" s="115"/>
    </row>
    <row r="215" spans="1:37" ht="15">
      <c r="A215"/>
      <c r="B215" s="148"/>
      <c r="C215"/>
      <c r="D215"/>
      <c r="E215"/>
      <c r="F215"/>
      <c r="G215"/>
      <c r="H215"/>
      <c r="I215"/>
      <c r="J215"/>
      <c r="K215"/>
      <c r="L215"/>
      <c r="M215" s="23"/>
      <c r="N215" s="99"/>
      <c r="O215" s="99"/>
      <c r="P215" s="99"/>
      <c r="Q215" s="99"/>
      <c r="R215" s="99"/>
      <c r="S215" s="99"/>
      <c r="T215" s="99"/>
      <c r="U215" s="99"/>
      <c r="AH215" s="114"/>
      <c r="AI215" s="114"/>
      <c r="AJ215" s="114"/>
      <c r="AK215" s="115"/>
    </row>
    <row r="216" spans="1:37" ht="15">
      <c r="A216"/>
      <c r="B216" s="148"/>
      <c r="C216"/>
      <c r="D216"/>
      <c r="E216"/>
      <c r="F216"/>
      <c r="G216"/>
      <c r="H216"/>
      <c r="I216"/>
      <c r="J216"/>
      <c r="K216"/>
      <c r="L216"/>
      <c r="M216" s="23"/>
      <c r="N216" s="99"/>
      <c r="O216" s="99"/>
      <c r="P216" s="99"/>
      <c r="Q216" s="99"/>
      <c r="R216" s="99"/>
      <c r="S216" s="99"/>
      <c r="T216" s="99"/>
      <c r="U216" s="99"/>
      <c r="AH216" s="114"/>
      <c r="AI216" s="114"/>
      <c r="AJ216" s="114"/>
      <c r="AK216" s="115"/>
    </row>
    <row r="217" spans="1:37" ht="15">
      <c r="A217"/>
      <c r="B217" s="148"/>
      <c r="C217"/>
      <c r="D217"/>
      <c r="E217"/>
      <c r="F217"/>
      <c r="G217"/>
      <c r="H217"/>
      <c r="I217"/>
      <c r="J217"/>
      <c r="K217"/>
      <c r="L217"/>
      <c r="M217" s="23"/>
      <c r="N217" s="99"/>
      <c r="O217" s="99"/>
      <c r="P217" s="99"/>
      <c r="Q217" s="99"/>
      <c r="R217" s="99"/>
      <c r="S217" s="99"/>
      <c r="T217" s="99"/>
      <c r="U217" s="99"/>
      <c r="AH217" s="114"/>
      <c r="AI217" s="114"/>
      <c r="AJ217" s="114"/>
      <c r="AK217" s="115"/>
    </row>
    <row r="218" spans="1:37" ht="15">
      <c r="A218"/>
      <c r="B218" s="148"/>
      <c r="C218"/>
      <c r="D218"/>
      <c r="E218"/>
      <c r="F218"/>
      <c r="G218"/>
      <c r="H218"/>
      <c r="I218"/>
      <c r="J218"/>
      <c r="K218"/>
      <c r="L218"/>
      <c r="M218" s="23"/>
      <c r="N218" s="99"/>
      <c r="O218" s="99"/>
      <c r="P218" s="99"/>
      <c r="Q218" s="99"/>
      <c r="R218" s="99"/>
      <c r="S218" s="99"/>
      <c r="T218" s="99"/>
      <c r="U218" s="99"/>
      <c r="AH218" s="114"/>
      <c r="AI218" s="114"/>
      <c r="AJ218" s="114"/>
      <c r="AK218" s="115"/>
    </row>
    <row r="219" spans="1:37" ht="15">
      <c r="A219"/>
      <c r="B219" s="148"/>
      <c r="C219"/>
      <c r="D219"/>
      <c r="E219"/>
      <c r="F219"/>
      <c r="G219"/>
      <c r="H219"/>
      <c r="I219"/>
      <c r="J219"/>
      <c r="K219"/>
      <c r="L219"/>
      <c r="M219" s="23"/>
      <c r="N219" s="99"/>
      <c r="O219" s="99"/>
      <c r="P219" s="99"/>
      <c r="Q219" s="99"/>
      <c r="R219" s="99"/>
      <c r="S219" s="99"/>
      <c r="T219" s="99"/>
      <c r="U219" s="99"/>
      <c r="AH219" s="114"/>
      <c r="AI219" s="114"/>
      <c r="AJ219" s="114"/>
      <c r="AK219" s="115"/>
    </row>
    <row r="220" spans="1:37" ht="15">
      <c r="A220"/>
      <c r="B220" s="148"/>
      <c r="C220"/>
      <c r="D220"/>
      <c r="E220"/>
      <c r="F220"/>
      <c r="G220"/>
      <c r="H220"/>
      <c r="I220"/>
      <c r="J220"/>
      <c r="K220"/>
      <c r="L220"/>
      <c r="M220" s="23"/>
      <c r="N220" s="99"/>
      <c r="O220" s="99"/>
      <c r="P220" s="99"/>
      <c r="Q220" s="99"/>
      <c r="R220" s="99"/>
      <c r="S220" s="99"/>
      <c r="T220" s="99"/>
      <c r="U220" s="99"/>
      <c r="AH220" s="114"/>
      <c r="AI220" s="114"/>
      <c r="AJ220" s="114"/>
      <c r="AK220" s="115"/>
    </row>
    <row r="221" spans="1:37" ht="15">
      <c r="A221"/>
      <c r="B221" s="148"/>
      <c r="C221"/>
      <c r="D221"/>
      <c r="E221"/>
      <c r="F221"/>
      <c r="G221"/>
      <c r="H221"/>
      <c r="I221"/>
      <c r="J221"/>
      <c r="K221"/>
      <c r="L221"/>
      <c r="M221" s="23"/>
      <c r="N221" s="99"/>
      <c r="O221" s="99"/>
      <c r="P221" s="99"/>
      <c r="Q221" s="99"/>
      <c r="R221" s="99"/>
      <c r="S221" s="99"/>
      <c r="T221" s="99"/>
      <c r="U221" s="99"/>
      <c r="AH221" s="114"/>
      <c r="AI221" s="114"/>
      <c r="AJ221" s="114"/>
      <c r="AK221" s="115"/>
    </row>
    <row r="222" spans="1:37" ht="15">
      <c r="A222"/>
      <c r="B222" s="148"/>
      <c r="C222"/>
      <c r="D222"/>
      <c r="E222"/>
      <c r="F222"/>
      <c r="G222"/>
      <c r="H222"/>
      <c r="I222"/>
      <c r="J222"/>
      <c r="K222"/>
      <c r="L222"/>
      <c r="M222" s="23"/>
      <c r="N222" s="99"/>
      <c r="O222" s="99"/>
      <c r="P222" s="99"/>
      <c r="Q222" s="99"/>
      <c r="R222" s="99"/>
      <c r="S222" s="99"/>
      <c r="T222" s="99"/>
      <c r="U222" s="99"/>
      <c r="AH222" s="114"/>
      <c r="AI222" s="114"/>
      <c r="AJ222" s="114"/>
      <c r="AK222" s="115"/>
    </row>
    <row r="223" spans="1:37" ht="15">
      <c r="A223"/>
      <c r="B223" s="148"/>
      <c r="C223"/>
      <c r="D223"/>
      <c r="E223"/>
      <c r="F223"/>
      <c r="G223"/>
      <c r="H223"/>
      <c r="I223"/>
      <c r="J223"/>
      <c r="K223"/>
      <c r="L223"/>
      <c r="M223" s="23"/>
      <c r="N223" s="99"/>
      <c r="O223" s="99"/>
      <c r="P223" s="99"/>
      <c r="Q223" s="99"/>
      <c r="R223" s="99"/>
      <c r="S223" s="99"/>
      <c r="T223" s="99"/>
      <c r="U223" s="99"/>
      <c r="AH223" s="114"/>
      <c r="AI223" s="114"/>
      <c r="AJ223" s="114"/>
      <c r="AK223" s="115"/>
    </row>
    <row r="224" spans="1:37" ht="15">
      <c r="A224"/>
      <c r="B224" s="148"/>
      <c r="C224"/>
      <c r="D224"/>
      <c r="E224"/>
      <c r="F224"/>
      <c r="G224"/>
      <c r="H224"/>
      <c r="I224"/>
      <c r="J224"/>
      <c r="K224"/>
      <c r="L224"/>
      <c r="M224" s="23"/>
      <c r="N224" s="99"/>
      <c r="O224" s="99"/>
      <c r="P224" s="99"/>
      <c r="Q224" s="99"/>
      <c r="R224" s="99"/>
      <c r="S224" s="99"/>
      <c r="T224" s="99"/>
      <c r="U224" s="99"/>
      <c r="AH224" s="114"/>
      <c r="AI224" s="114"/>
      <c r="AJ224" s="114"/>
      <c r="AK224" s="115"/>
    </row>
    <row r="225" spans="1:37" ht="15">
      <c r="A225"/>
      <c r="B225" s="148"/>
      <c r="C225"/>
      <c r="D225"/>
      <c r="E225"/>
      <c r="F225"/>
      <c r="G225"/>
      <c r="H225"/>
      <c r="I225"/>
      <c r="J225"/>
      <c r="K225"/>
      <c r="L225"/>
      <c r="M225" s="23"/>
      <c r="N225" s="99"/>
      <c r="O225" s="99"/>
      <c r="P225" s="99"/>
      <c r="Q225" s="99"/>
      <c r="R225" s="99"/>
      <c r="S225" s="99"/>
      <c r="T225" s="99"/>
      <c r="U225" s="99"/>
      <c r="AH225" s="114"/>
      <c r="AI225" s="114"/>
      <c r="AJ225" s="114"/>
      <c r="AK225" s="115"/>
    </row>
    <row r="226" spans="1:37" ht="15">
      <c r="A226"/>
      <c r="B226" s="148"/>
      <c r="C226"/>
      <c r="D226"/>
      <c r="E226"/>
      <c r="F226"/>
      <c r="G226"/>
      <c r="H226"/>
      <c r="I226"/>
      <c r="J226"/>
      <c r="K226"/>
      <c r="L226"/>
      <c r="M226" s="23"/>
      <c r="N226" s="99"/>
      <c r="O226" s="99"/>
      <c r="P226" s="99"/>
      <c r="Q226" s="99"/>
      <c r="R226" s="99"/>
      <c r="S226" s="99"/>
      <c r="T226" s="99"/>
      <c r="U226" s="99"/>
      <c r="AH226" s="114"/>
      <c r="AI226" s="114"/>
      <c r="AJ226" s="114"/>
      <c r="AK226" s="115"/>
    </row>
    <row r="227" spans="1:37" ht="15">
      <c r="A227"/>
      <c r="B227" s="148"/>
      <c r="C227"/>
      <c r="D227"/>
      <c r="E227"/>
      <c r="F227"/>
      <c r="G227"/>
      <c r="H227"/>
      <c r="I227"/>
      <c r="J227"/>
      <c r="K227"/>
      <c r="L227"/>
      <c r="M227" s="23"/>
      <c r="N227" s="99"/>
      <c r="O227" s="99"/>
      <c r="P227" s="99"/>
      <c r="Q227" s="99"/>
      <c r="R227" s="99"/>
      <c r="S227" s="99"/>
      <c r="T227" s="99"/>
      <c r="U227" s="99"/>
      <c r="AH227" s="114"/>
      <c r="AI227" s="114"/>
      <c r="AJ227" s="114"/>
      <c r="AK227" s="115"/>
    </row>
    <row r="228" spans="1:37" ht="15">
      <c r="A228"/>
      <c r="B228" s="148"/>
      <c r="C228"/>
      <c r="D228"/>
      <c r="E228"/>
      <c r="F228"/>
      <c r="G228"/>
      <c r="H228"/>
      <c r="I228"/>
      <c r="J228"/>
      <c r="K228"/>
      <c r="L228"/>
      <c r="M228" s="23"/>
      <c r="N228" s="99"/>
      <c r="O228" s="99"/>
      <c r="P228" s="99"/>
      <c r="Q228" s="99"/>
      <c r="R228" s="99"/>
      <c r="S228" s="99"/>
      <c r="T228" s="99"/>
      <c r="U228" s="99"/>
      <c r="AH228" s="114"/>
      <c r="AI228" s="114"/>
      <c r="AJ228" s="114"/>
      <c r="AK228" s="115"/>
    </row>
    <row r="229" spans="1:37" ht="15">
      <c r="A229"/>
      <c r="B229" s="148"/>
      <c r="C229"/>
      <c r="D229"/>
      <c r="E229"/>
      <c r="F229"/>
      <c r="G229"/>
      <c r="H229"/>
      <c r="I229"/>
      <c r="J229"/>
      <c r="K229"/>
      <c r="L229"/>
      <c r="M229" s="23"/>
      <c r="N229" s="99"/>
      <c r="O229" s="99"/>
      <c r="P229" s="99"/>
      <c r="Q229" s="99"/>
      <c r="R229" s="99"/>
      <c r="S229" s="99"/>
      <c r="T229" s="99"/>
      <c r="U229" s="99"/>
      <c r="AH229" s="114"/>
      <c r="AI229" s="114"/>
      <c r="AJ229" s="114"/>
      <c r="AK229" s="115"/>
    </row>
    <row r="230" spans="1:37" ht="15">
      <c r="A230"/>
      <c r="B230" s="148"/>
      <c r="C230"/>
      <c r="D230"/>
      <c r="E230"/>
      <c r="F230"/>
      <c r="G230"/>
      <c r="H230"/>
      <c r="I230"/>
      <c r="J230"/>
      <c r="K230"/>
      <c r="L230"/>
      <c r="M230" s="23"/>
      <c r="N230" s="99"/>
      <c r="O230" s="99"/>
      <c r="P230" s="99"/>
      <c r="Q230" s="99"/>
      <c r="R230" s="99"/>
      <c r="S230" s="99"/>
      <c r="T230" s="99"/>
      <c r="U230" s="99"/>
      <c r="AH230" s="114"/>
      <c r="AI230" s="114"/>
      <c r="AJ230" s="114"/>
      <c r="AK230" s="115"/>
    </row>
    <row r="231" spans="1:37" ht="15">
      <c r="A231"/>
      <c r="B231" s="148"/>
      <c r="C231"/>
      <c r="D231"/>
      <c r="E231"/>
      <c r="F231"/>
      <c r="G231"/>
      <c r="H231"/>
      <c r="I231"/>
      <c r="J231"/>
      <c r="K231"/>
      <c r="L231"/>
      <c r="M231" s="23"/>
      <c r="N231" s="99"/>
      <c r="O231" s="99"/>
      <c r="P231" s="99"/>
      <c r="Q231" s="99"/>
      <c r="R231" s="99"/>
      <c r="S231" s="99"/>
      <c r="T231" s="99"/>
      <c r="U231" s="99"/>
      <c r="AH231" s="114"/>
      <c r="AI231" s="114"/>
      <c r="AJ231" s="114"/>
      <c r="AK231" s="115"/>
    </row>
    <row r="232" spans="1:37" ht="15">
      <c r="A232"/>
      <c r="B232" s="148"/>
      <c r="C232"/>
      <c r="D232"/>
      <c r="E232"/>
      <c r="F232"/>
      <c r="G232"/>
      <c r="H232"/>
      <c r="I232"/>
      <c r="J232"/>
      <c r="K232"/>
      <c r="L232"/>
      <c r="M232" s="23"/>
      <c r="N232" s="99"/>
      <c r="O232" s="99"/>
      <c r="P232" s="99"/>
      <c r="Q232" s="99"/>
      <c r="R232" s="99"/>
      <c r="S232" s="99"/>
      <c r="T232" s="99"/>
      <c r="U232" s="99"/>
      <c r="AH232" s="114"/>
      <c r="AI232" s="114"/>
      <c r="AJ232" s="114"/>
      <c r="AK232" s="115"/>
    </row>
    <row r="233" spans="1:37" ht="15">
      <c r="A233"/>
      <c r="B233" s="148"/>
      <c r="C233"/>
      <c r="D233"/>
      <c r="E233"/>
      <c r="F233"/>
      <c r="G233"/>
      <c r="H233"/>
      <c r="I233"/>
      <c r="J233"/>
      <c r="K233"/>
      <c r="L233"/>
      <c r="M233" s="23"/>
      <c r="N233" s="99"/>
      <c r="O233" s="99"/>
      <c r="P233" s="99"/>
      <c r="Q233" s="99"/>
      <c r="R233" s="99"/>
      <c r="S233" s="99"/>
      <c r="T233" s="99"/>
      <c r="U233" s="99"/>
      <c r="AH233" s="114"/>
      <c r="AI233" s="114"/>
      <c r="AJ233" s="114"/>
      <c r="AK233" s="115"/>
    </row>
    <row r="234" spans="1:37" ht="15">
      <c r="A234"/>
      <c r="B234" s="148"/>
      <c r="C234"/>
      <c r="D234"/>
      <c r="E234"/>
      <c r="F234"/>
      <c r="G234"/>
      <c r="H234"/>
      <c r="I234"/>
      <c r="J234"/>
      <c r="K234"/>
      <c r="L234"/>
      <c r="M234" s="23"/>
      <c r="N234" s="99"/>
      <c r="O234" s="99"/>
      <c r="P234" s="99"/>
      <c r="Q234" s="99"/>
      <c r="R234" s="99"/>
      <c r="S234" s="99"/>
      <c r="T234" s="99"/>
      <c r="U234" s="99"/>
      <c r="AH234" s="114"/>
      <c r="AI234" s="114"/>
      <c r="AJ234" s="114"/>
      <c r="AK234" s="115"/>
    </row>
    <row r="235" spans="1:37" ht="15">
      <c r="A235"/>
      <c r="B235" s="148"/>
      <c r="C235"/>
      <c r="D235"/>
      <c r="E235"/>
      <c r="F235"/>
      <c r="G235"/>
      <c r="H235"/>
      <c r="I235"/>
      <c r="J235"/>
      <c r="K235"/>
      <c r="L235"/>
      <c r="M235" s="23"/>
      <c r="N235" s="99"/>
      <c r="O235" s="99"/>
      <c r="P235" s="99"/>
      <c r="Q235" s="99"/>
      <c r="R235" s="99"/>
      <c r="S235" s="99"/>
      <c r="T235" s="99"/>
      <c r="U235" s="99"/>
      <c r="AH235" s="114"/>
      <c r="AI235" s="114"/>
      <c r="AJ235" s="114"/>
      <c r="AK235" s="115"/>
    </row>
    <row r="236" spans="1:37" ht="15">
      <c r="A236"/>
      <c r="B236" s="148"/>
      <c r="C236"/>
      <c r="D236"/>
      <c r="E236"/>
      <c r="F236"/>
      <c r="G236"/>
      <c r="H236"/>
      <c r="I236"/>
      <c r="J236"/>
      <c r="K236"/>
      <c r="L236"/>
      <c r="M236" s="23"/>
      <c r="N236" s="99"/>
      <c r="O236" s="99"/>
      <c r="P236" s="99"/>
      <c r="Q236" s="99"/>
      <c r="R236" s="99"/>
      <c r="S236" s="99"/>
      <c r="T236" s="99"/>
      <c r="U236" s="99"/>
      <c r="AH236" s="114"/>
      <c r="AI236" s="114"/>
      <c r="AJ236" s="114"/>
      <c r="AK236" s="115"/>
    </row>
    <row r="237" spans="1:37" ht="15">
      <c r="A237"/>
      <c r="B237" s="148"/>
      <c r="C237"/>
      <c r="D237"/>
      <c r="E237"/>
      <c r="F237"/>
      <c r="G237"/>
      <c r="H237"/>
      <c r="I237"/>
      <c r="J237"/>
      <c r="K237"/>
      <c r="L237"/>
      <c r="M237" s="23"/>
      <c r="N237" s="99"/>
      <c r="O237" s="99"/>
      <c r="P237" s="99"/>
      <c r="Q237" s="99"/>
      <c r="R237" s="99"/>
      <c r="S237" s="99"/>
      <c r="T237" s="99"/>
      <c r="U237" s="99"/>
      <c r="AH237" s="114"/>
      <c r="AI237" s="114"/>
      <c r="AJ237" s="114"/>
      <c r="AK237" s="115"/>
    </row>
    <row r="238" spans="1:37" ht="15">
      <c r="A238"/>
      <c r="B238" s="148"/>
      <c r="C238"/>
      <c r="D238"/>
      <c r="E238"/>
      <c r="F238"/>
      <c r="G238"/>
      <c r="H238"/>
      <c r="I238"/>
      <c r="J238"/>
      <c r="K238"/>
      <c r="L238"/>
      <c r="M238" s="23"/>
      <c r="N238" s="99"/>
      <c r="O238" s="99"/>
      <c r="P238" s="99"/>
      <c r="Q238" s="99"/>
      <c r="R238" s="99"/>
      <c r="S238" s="99"/>
      <c r="T238" s="99"/>
      <c r="U238" s="99"/>
      <c r="AH238" s="114"/>
      <c r="AI238" s="114"/>
      <c r="AJ238" s="114"/>
      <c r="AK238" s="115"/>
    </row>
    <row r="239" spans="1:37" ht="15">
      <c r="A239"/>
      <c r="B239" s="148"/>
      <c r="C239"/>
      <c r="D239"/>
      <c r="E239"/>
      <c r="F239"/>
      <c r="G239"/>
      <c r="H239"/>
      <c r="I239"/>
      <c r="J239"/>
      <c r="K239"/>
      <c r="L239"/>
      <c r="M239" s="23"/>
      <c r="N239" s="99"/>
      <c r="O239" s="99"/>
      <c r="P239" s="99"/>
      <c r="Q239" s="99"/>
      <c r="R239" s="99"/>
      <c r="S239" s="99"/>
      <c r="T239" s="99"/>
      <c r="U239" s="99"/>
      <c r="AH239" s="114"/>
      <c r="AI239" s="114"/>
      <c r="AJ239" s="114"/>
      <c r="AK239" s="115"/>
    </row>
    <row r="240" spans="1:37" ht="15">
      <c r="A240"/>
      <c r="B240" s="148"/>
      <c r="C240"/>
      <c r="D240"/>
      <c r="E240"/>
      <c r="F240"/>
      <c r="G240"/>
      <c r="H240"/>
      <c r="I240"/>
      <c r="J240"/>
      <c r="K240"/>
      <c r="L240"/>
      <c r="M240" s="23"/>
      <c r="N240" s="99"/>
      <c r="O240" s="99"/>
      <c r="P240" s="99"/>
      <c r="Q240" s="99"/>
      <c r="R240" s="99"/>
      <c r="S240" s="99"/>
      <c r="T240" s="99"/>
      <c r="U240" s="99"/>
      <c r="AH240" s="114"/>
      <c r="AI240" s="114"/>
      <c r="AJ240" s="114"/>
      <c r="AK240" s="115"/>
    </row>
    <row r="241" spans="1:37" ht="15">
      <c r="A241"/>
      <c r="B241" s="148"/>
      <c r="C241"/>
      <c r="D241"/>
      <c r="E241"/>
      <c r="F241"/>
      <c r="G241"/>
      <c r="H241"/>
      <c r="I241"/>
      <c r="J241"/>
      <c r="K241"/>
      <c r="L241"/>
      <c r="M241" s="23"/>
      <c r="N241" s="99"/>
      <c r="O241" s="99"/>
      <c r="P241" s="99"/>
      <c r="Q241" s="99"/>
      <c r="R241" s="99"/>
      <c r="S241" s="99"/>
      <c r="T241" s="99"/>
      <c r="U241" s="99"/>
      <c r="AH241" s="114"/>
      <c r="AI241" s="114"/>
      <c r="AJ241" s="114"/>
      <c r="AK241" s="115"/>
    </row>
    <row r="242" spans="1:37" ht="15">
      <c r="A242"/>
      <c r="B242" s="148"/>
      <c r="C242"/>
      <c r="D242"/>
      <c r="E242"/>
      <c r="F242"/>
      <c r="G242"/>
      <c r="H242"/>
      <c r="I242"/>
      <c r="J242"/>
      <c r="K242"/>
      <c r="L242"/>
      <c r="M242" s="23"/>
      <c r="N242" s="99"/>
      <c r="O242" s="99"/>
      <c r="P242" s="99"/>
      <c r="Q242" s="99"/>
      <c r="R242" s="99"/>
      <c r="S242" s="99"/>
      <c r="T242" s="99"/>
      <c r="U242" s="99"/>
    </row>
    <row r="243" spans="1:37" ht="15">
      <c r="A243"/>
      <c r="B243" s="148"/>
      <c r="C243"/>
      <c r="D243"/>
      <c r="E243"/>
      <c r="F243"/>
      <c r="G243"/>
      <c r="H243"/>
      <c r="I243"/>
      <c r="J243"/>
      <c r="K243"/>
      <c r="L243"/>
      <c r="M243" s="23"/>
      <c r="N243" s="99"/>
      <c r="O243" s="99"/>
      <c r="P243" s="99"/>
      <c r="Q243" s="99"/>
      <c r="R243" s="99"/>
      <c r="S243" s="99"/>
      <c r="T243" s="99"/>
      <c r="U243" s="99"/>
    </row>
    <row r="244" spans="1:37" ht="15">
      <c r="A244"/>
      <c r="B244" s="148"/>
      <c r="C244"/>
      <c r="D244"/>
      <c r="E244"/>
      <c r="F244"/>
      <c r="G244"/>
      <c r="H244"/>
      <c r="I244"/>
      <c r="J244"/>
      <c r="K244"/>
      <c r="L244"/>
      <c r="M244" s="23"/>
      <c r="N244" s="99"/>
      <c r="O244" s="99"/>
      <c r="P244" s="99"/>
      <c r="Q244" s="99"/>
      <c r="R244" s="99"/>
      <c r="S244" s="99"/>
      <c r="T244" s="99"/>
      <c r="U244" s="99"/>
    </row>
    <row r="245" spans="1:37" ht="15">
      <c r="A245"/>
      <c r="B245" s="148"/>
      <c r="C245"/>
      <c r="D245"/>
      <c r="E245"/>
      <c r="F245"/>
      <c r="G245"/>
      <c r="H245"/>
      <c r="I245"/>
      <c r="J245"/>
      <c r="K245"/>
      <c r="L245"/>
      <c r="M245" s="23"/>
      <c r="N245" s="99"/>
      <c r="O245" s="99"/>
      <c r="P245" s="99"/>
      <c r="Q245" s="99"/>
      <c r="R245" s="99"/>
      <c r="S245" s="99"/>
      <c r="T245" s="99"/>
      <c r="U245" s="99"/>
    </row>
    <row r="246" spans="1:37" ht="15">
      <c r="A246"/>
      <c r="B246" s="148"/>
      <c r="C246"/>
      <c r="D246"/>
      <c r="E246"/>
      <c r="F246"/>
      <c r="G246"/>
      <c r="H246"/>
      <c r="I246"/>
      <c r="J246"/>
      <c r="K246"/>
      <c r="L246"/>
      <c r="M246" s="23"/>
      <c r="N246" s="99"/>
      <c r="O246" s="99"/>
      <c r="P246" s="99"/>
      <c r="Q246" s="99"/>
      <c r="R246" s="99"/>
      <c r="S246" s="99"/>
      <c r="T246" s="99"/>
      <c r="U246" s="99"/>
    </row>
    <row r="247" spans="1:37" ht="15">
      <c r="A247"/>
      <c r="B247" s="148"/>
      <c r="C247"/>
      <c r="D247"/>
      <c r="E247"/>
      <c r="F247"/>
      <c r="G247"/>
      <c r="H247"/>
      <c r="I247"/>
      <c r="J247"/>
      <c r="K247"/>
      <c r="L247"/>
      <c r="M247" s="23"/>
      <c r="N247" s="99"/>
      <c r="O247" s="99"/>
      <c r="P247" s="99"/>
      <c r="Q247" s="99"/>
      <c r="R247" s="99"/>
      <c r="S247" s="99"/>
      <c r="T247" s="99"/>
      <c r="U247" s="99"/>
    </row>
    <row r="248" spans="1:37" ht="15">
      <c r="A248"/>
      <c r="B248" s="148"/>
      <c r="C248"/>
      <c r="D248"/>
      <c r="E248"/>
      <c r="F248"/>
      <c r="G248"/>
      <c r="H248"/>
      <c r="I248"/>
      <c r="J248"/>
      <c r="K248"/>
      <c r="L248"/>
      <c r="M248" s="23"/>
      <c r="N248" s="99"/>
      <c r="O248" s="99"/>
      <c r="P248" s="99"/>
      <c r="Q248" s="99"/>
      <c r="R248" s="99"/>
      <c r="S248" s="99"/>
      <c r="T248" s="99"/>
      <c r="U248" s="99"/>
    </row>
    <row r="249" spans="1:37" ht="15">
      <c r="A249"/>
      <c r="B249" s="148"/>
      <c r="C249"/>
      <c r="D249"/>
      <c r="E249"/>
      <c r="F249"/>
      <c r="G249"/>
      <c r="H249"/>
      <c r="I249"/>
      <c r="J249"/>
      <c r="K249"/>
      <c r="L249"/>
      <c r="M249" s="23"/>
      <c r="N249" s="99"/>
      <c r="O249" s="99"/>
      <c r="P249" s="99"/>
      <c r="Q249" s="99"/>
      <c r="R249" s="99"/>
      <c r="S249" s="99"/>
      <c r="T249" s="99"/>
      <c r="U249" s="99"/>
    </row>
    <row r="250" spans="1:37" ht="15">
      <c r="A250"/>
      <c r="B250" s="148"/>
      <c r="C250"/>
      <c r="D250"/>
      <c r="E250"/>
      <c r="F250"/>
      <c r="G250"/>
      <c r="H250"/>
      <c r="I250"/>
      <c r="J250"/>
      <c r="K250"/>
      <c r="L250"/>
      <c r="M250" s="23"/>
      <c r="N250" s="99"/>
      <c r="O250" s="99"/>
      <c r="P250" s="99"/>
      <c r="Q250" s="99"/>
      <c r="R250" s="99"/>
      <c r="S250" s="99"/>
      <c r="T250" s="99"/>
      <c r="U250" s="99"/>
    </row>
    <row r="251" spans="1:37" ht="15">
      <c r="A251"/>
      <c r="B251" s="148"/>
      <c r="C251"/>
      <c r="D251"/>
      <c r="E251"/>
      <c r="F251"/>
      <c r="G251"/>
      <c r="H251"/>
      <c r="I251"/>
      <c r="J251"/>
      <c r="K251"/>
      <c r="L251"/>
      <c r="M251" s="23"/>
      <c r="N251" s="99"/>
      <c r="O251" s="99"/>
      <c r="P251" s="99"/>
      <c r="Q251" s="99"/>
      <c r="R251" s="99"/>
      <c r="S251" s="99"/>
      <c r="T251" s="99"/>
      <c r="U251" s="99"/>
    </row>
    <row r="252" spans="1:37" ht="15">
      <c r="A252"/>
      <c r="B252" s="148"/>
      <c r="C252"/>
      <c r="D252"/>
      <c r="E252" t="s">
        <v>22</v>
      </c>
      <c r="F252" t="s">
        <v>22</v>
      </c>
      <c r="G252"/>
      <c r="H252"/>
      <c r="I252"/>
      <c r="J252"/>
      <c r="K252"/>
      <c r="L252"/>
      <c r="M252" s="23"/>
      <c r="N252" s="99"/>
      <c r="O252" s="99"/>
      <c r="P252" s="99"/>
      <c r="Q252" s="99"/>
      <c r="R252" s="99"/>
      <c r="S252" s="99"/>
      <c r="T252" s="99"/>
      <c r="U252" s="99"/>
    </row>
    <row r="253" spans="1:37" ht="15">
      <c r="A253"/>
      <c r="B253" s="148"/>
      <c r="C253"/>
      <c r="D253" t="s">
        <v>22</v>
      </c>
      <c r="E253" t="s">
        <v>22</v>
      </c>
      <c r="F253" t="s">
        <v>22</v>
      </c>
      <c r="G253"/>
      <c r="H253"/>
      <c r="I253"/>
      <c r="J253"/>
      <c r="K253"/>
      <c r="L253"/>
      <c r="M253" s="23"/>
      <c r="N253" s="99"/>
      <c r="O253" s="99"/>
      <c r="P253" s="99"/>
      <c r="Q253" s="99"/>
      <c r="R253" s="99"/>
      <c r="S253" s="99"/>
      <c r="T253" s="99"/>
      <c r="U253" s="99"/>
    </row>
    <row r="254" spans="1:37" ht="15">
      <c r="C254"/>
      <c r="G254"/>
      <c r="H254"/>
    </row>
    <row r="255" spans="1:37" ht="15">
      <c r="C255"/>
      <c r="G255"/>
      <c r="H255"/>
    </row>
    <row r="256" spans="1:37" ht="15">
      <c r="C256"/>
      <c r="G256"/>
      <c r="H256"/>
    </row>
    <row r="257" spans="3:8" ht="15">
      <c r="C257"/>
      <c r="G257"/>
      <c r="H257"/>
    </row>
    <row r="258" spans="3:8" ht="15">
      <c r="C258"/>
      <c r="G258"/>
      <c r="H258"/>
    </row>
    <row r="259" spans="3:8" ht="15">
      <c r="C259"/>
      <c r="G259"/>
      <c r="H259"/>
    </row>
    <row r="260" spans="3:8" ht="15">
      <c r="C260"/>
      <c r="G260"/>
      <c r="H260"/>
    </row>
    <row r="261" spans="3:8" ht="15">
      <c r="C261"/>
      <c r="G261"/>
      <c r="H261"/>
    </row>
    <row r="262" spans="3:8" ht="15">
      <c r="C262"/>
      <c r="G262"/>
      <c r="H262"/>
    </row>
    <row r="263" spans="3:8" ht="15">
      <c r="C263"/>
      <c r="G263"/>
      <c r="H263"/>
    </row>
    <row r="264" spans="3:8" ht="15">
      <c r="C264"/>
      <c r="G264"/>
      <c r="H264"/>
    </row>
    <row r="265" spans="3:8" ht="15">
      <c r="C265"/>
      <c r="G265"/>
      <c r="H265"/>
    </row>
    <row r="266" spans="3:8" ht="15">
      <c r="C266"/>
      <c r="G266"/>
      <c r="H266"/>
    </row>
    <row r="267" spans="3:8" ht="15">
      <c r="C267"/>
      <c r="G267"/>
      <c r="H267"/>
    </row>
    <row r="268" spans="3:8" ht="15">
      <c r="C268"/>
      <c r="G268"/>
      <c r="H268"/>
    </row>
    <row r="269" spans="3:8" ht="15">
      <c r="C269"/>
      <c r="G269"/>
      <c r="H269"/>
    </row>
    <row r="270" spans="3:8" ht="15">
      <c r="C270"/>
      <c r="G270"/>
      <c r="H270"/>
    </row>
    <row r="271" spans="3:8" ht="15">
      <c r="C271"/>
      <c r="G271"/>
      <c r="H271"/>
    </row>
    <row r="272" spans="3:8" ht="15">
      <c r="C272"/>
      <c r="G272"/>
      <c r="H272"/>
    </row>
    <row r="273" spans="3:8" ht="15">
      <c r="C273"/>
      <c r="G273"/>
      <c r="H273"/>
    </row>
    <row r="274" spans="3:8" ht="15">
      <c r="C274"/>
      <c r="G274"/>
      <c r="H274"/>
    </row>
    <row r="275" spans="3:8" ht="15">
      <c r="C275"/>
      <c r="G275"/>
      <c r="H275"/>
    </row>
    <row r="276" spans="3:8" ht="15">
      <c r="C276"/>
      <c r="G276"/>
      <c r="H276"/>
    </row>
    <row r="277" spans="3:8" ht="15">
      <c r="C277"/>
      <c r="G277"/>
      <c r="H277"/>
    </row>
    <row r="278" spans="3:8" ht="15">
      <c r="C278"/>
      <c r="G278"/>
      <c r="H278"/>
    </row>
    <row r="279" spans="3:8" ht="15">
      <c r="C279"/>
      <c r="G279"/>
      <c r="H279"/>
    </row>
    <row r="280" spans="3:8" ht="15">
      <c r="C280"/>
      <c r="G280"/>
      <c r="H280"/>
    </row>
    <row r="281" spans="3:8" ht="15">
      <c r="C281"/>
      <c r="G281"/>
      <c r="H281"/>
    </row>
    <row r="282" spans="3:8" ht="15">
      <c r="C282"/>
      <c r="G282"/>
      <c r="H282"/>
    </row>
    <row r="283" spans="3:8" ht="15">
      <c r="C283"/>
      <c r="G283"/>
      <c r="H283"/>
    </row>
    <row r="284" spans="3:8" ht="15">
      <c r="C284"/>
      <c r="G284"/>
      <c r="H284"/>
    </row>
    <row r="285" spans="3:8" ht="15">
      <c r="C285"/>
      <c r="G285"/>
      <c r="H285"/>
    </row>
    <row r="286" spans="3:8" ht="15">
      <c r="C286"/>
      <c r="G286"/>
    </row>
    <row r="287" spans="3:8" ht="15">
      <c r="C287"/>
      <c r="G287"/>
    </row>
    <row r="288" spans="3:8" ht="15">
      <c r="C288"/>
      <c r="G288"/>
    </row>
    <row r="289" spans="3:7" ht="15">
      <c r="C289"/>
      <c r="G289"/>
    </row>
    <row r="290" spans="3:7" ht="15">
      <c r="C290"/>
      <c r="G290"/>
    </row>
    <row r="291" spans="3:7" ht="15">
      <c r="C291"/>
      <c r="G291"/>
    </row>
    <row r="292" spans="3:7" ht="15">
      <c r="C292"/>
      <c r="G292"/>
    </row>
    <row r="293" spans="3:7" ht="15">
      <c r="C293"/>
      <c r="G293"/>
    </row>
    <row r="294" spans="3:7" ht="15">
      <c r="C294"/>
      <c r="G294"/>
    </row>
    <row r="295" spans="3:7" ht="15">
      <c r="C295"/>
      <c r="G295"/>
    </row>
    <row r="296" spans="3:7" ht="15">
      <c r="C296"/>
      <c r="G296"/>
    </row>
    <row r="297" spans="3:7" ht="15">
      <c r="C297"/>
      <c r="G297"/>
    </row>
    <row r="298" spans="3:7" ht="15">
      <c r="C298"/>
      <c r="G298"/>
    </row>
    <row r="299" spans="3:7" ht="15">
      <c r="C299"/>
      <c r="G299"/>
    </row>
    <row r="300" spans="3:7" ht="15">
      <c r="C300"/>
      <c r="G300"/>
    </row>
    <row r="301" spans="3:7" ht="15">
      <c r="C301"/>
      <c r="G301"/>
    </row>
    <row r="302" spans="3:7" ht="15">
      <c r="C302"/>
      <c r="G302"/>
    </row>
    <row r="303" spans="3:7" ht="15">
      <c r="C303"/>
      <c r="G303"/>
    </row>
    <row r="304" spans="3:7" ht="15">
      <c r="C304"/>
      <c r="G304"/>
    </row>
    <row r="305" spans="3:15" ht="15">
      <c r="C305"/>
      <c r="G305"/>
    </row>
    <row r="306" spans="3:15" ht="15">
      <c r="C306"/>
      <c r="G306"/>
    </row>
    <row r="307" spans="3:15" ht="15">
      <c r="C307"/>
      <c r="G307"/>
      <c r="N307" s="154"/>
      <c r="O307" s="154"/>
    </row>
    <row r="308" spans="3:15" ht="15">
      <c r="C308"/>
      <c r="G308"/>
      <c r="N308" s="154"/>
      <c r="O308" s="154"/>
    </row>
    <row r="309" spans="3:15" ht="15">
      <c r="C309"/>
      <c r="G309"/>
      <c r="N309" s="154"/>
      <c r="O309" s="154"/>
    </row>
    <row r="310" spans="3:15" ht="15">
      <c r="C310"/>
      <c r="G310"/>
      <c r="N310" s="154"/>
      <c r="O310" s="154"/>
    </row>
    <row r="311" spans="3:15" ht="15">
      <c r="C311"/>
      <c r="G311"/>
      <c r="N311" s="154"/>
      <c r="O311" s="154"/>
    </row>
    <row r="312" spans="3:15" ht="15">
      <c r="C312"/>
      <c r="G312"/>
      <c r="N312" s="154"/>
      <c r="O312" s="154"/>
    </row>
    <row r="313" spans="3:15" ht="15">
      <c r="C313"/>
      <c r="G313"/>
      <c r="N313" s="154"/>
      <c r="O313" s="154"/>
    </row>
    <row r="314" spans="3:15" ht="15">
      <c r="C314"/>
      <c r="G314"/>
      <c r="N314" s="154"/>
      <c r="O314" s="154"/>
    </row>
    <row r="315" spans="3:15" ht="15">
      <c r="C315"/>
      <c r="G315"/>
      <c r="N315" s="154"/>
      <c r="O315" s="154"/>
    </row>
    <row r="316" spans="3:15" ht="15">
      <c r="C316"/>
      <c r="G316"/>
      <c r="N316" s="154"/>
      <c r="O316" s="154"/>
    </row>
    <row r="317" spans="3:15" ht="15">
      <c r="C317"/>
      <c r="G317"/>
      <c r="N317" s="154"/>
      <c r="O317" s="154"/>
    </row>
    <row r="318" spans="3:15" ht="15">
      <c r="C318"/>
      <c r="G318"/>
      <c r="N318" s="154"/>
      <c r="O318" s="154"/>
    </row>
    <row r="319" spans="3:15" ht="15">
      <c r="C319"/>
      <c r="G319"/>
      <c r="N319" s="154"/>
      <c r="O319" s="154"/>
    </row>
    <row r="320" spans="3:15" ht="15">
      <c r="C320"/>
      <c r="G320"/>
      <c r="N320" s="154"/>
      <c r="O320" s="154"/>
    </row>
    <row r="321" spans="3:15" ht="15">
      <c r="C321"/>
      <c r="G321"/>
      <c r="N321" s="154"/>
      <c r="O321" s="154"/>
    </row>
    <row r="322" spans="3:15" ht="15">
      <c r="C322"/>
      <c r="G322"/>
      <c r="N322" s="154"/>
      <c r="O322" s="154"/>
    </row>
    <row r="323" spans="3:15" ht="15">
      <c r="C323"/>
      <c r="G323"/>
      <c r="N323" s="154"/>
      <c r="O323" s="154"/>
    </row>
    <row r="324" spans="3:15" ht="15">
      <c r="C324"/>
      <c r="G324"/>
      <c r="N324" s="154"/>
      <c r="O324" s="154"/>
    </row>
    <row r="325" spans="3:15" ht="15">
      <c r="C325"/>
      <c r="G325"/>
      <c r="N325" s="154"/>
      <c r="O325" s="154"/>
    </row>
    <row r="326" spans="3:15" ht="15">
      <c r="C326"/>
      <c r="G326"/>
      <c r="N326" s="154"/>
      <c r="O326" s="154"/>
    </row>
    <row r="327" spans="3:15" ht="15">
      <c r="C327"/>
      <c r="G327"/>
      <c r="N327" s="154"/>
      <c r="O327" s="154"/>
    </row>
    <row r="328" spans="3:15" ht="15">
      <c r="C328"/>
      <c r="G328"/>
      <c r="N328" s="154"/>
      <c r="O328" s="154"/>
    </row>
    <row r="329" spans="3:15" ht="15">
      <c r="C329"/>
      <c r="G329"/>
      <c r="N329" s="154"/>
      <c r="O329" s="154"/>
    </row>
    <row r="330" spans="3:15" ht="15">
      <c r="C330"/>
      <c r="G330"/>
      <c r="N330" s="154"/>
      <c r="O330" s="154"/>
    </row>
    <row r="331" spans="3:15" ht="15">
      <c r="C331"/>
      <c r="G331"/>
      <c r="N331" s="154"/>
      <c r="O331" s="154"/>
    </row>
    <row r="332" spans="3:15" ht="15">
      <c r="C332"/>
      <c r="G332"/>
      <c r="N332" s="154"/>
      <c r="O332" s="154"/>
    </row>
    <row r="333" spans="3:15" ht="15">
      <c r="C333"/>
      <c r="G333"/>
      <c r="N333" s="154"/>
      <c r="O333" s="154"/>
    </row>
    <row r="334" spans="3:15" ht="15">
      <c r="C334"/>
      <c r="G334"/>
      <c r="N334" s="154"/>
      <c r="O334" s="154"/>
    </row>
    <row r="335" spans="3:15" ht="15">
      <c r="C335"/>
      <c r="G335"/>
      <c r="N335" s="154"/>
      <c r="O335" s="154"/>
    </row>
    <row r="336" spans="3:15" ht="15">
      <c r="C336"/>
      <c r="G336"/>
      <c r="N336" s="154"/>
      <c r="O336" s="154"/>
    </row>
    <row r="337" spans="3:15" ht="15">
      <c r="C337"/>
      <c r="G337"/>
      <c r="N337" s="154"/>
      <c r="O337" s="154"/>
    </row>
    <row r="338" spans="3:15" ht="15">
      <c r="C338"/>
      <c r="G338"/>
      <c r="N338" s="154"/>
      <c r="O338" s="154"/>
    </row>
    <row r="339" spans="3:15" ht="15">
      <c r="C339"/>
      <c r="G339"/>
      <c r="N339" s="154"/>
      <c r="O339" s="154"/>
    </row>
    <row r="340" spans="3:15" ht="15">
      <c r="C340"/>
      <c r="G340"/>
      <c r="N340" s="154"/>
      <c r="O340" s="154"/>
    </row>
    <row r="341" spans="3:15" ht="15">
      <c r="C341"/>
      <c r="G341"/>
      <c r="N341" s="154"/>
      <c r="O341" s="154"/>
    </row>
    <row r="342" spans="3:15" ht="15">
      <c r="C342"/>
      <c r="G342"/>
      <c r="N342" s="154"/>
      <c r="O342" s="154"/>
    </row>
    <row r="343" spans="3:15" ht="15">
      <c r="C343"/>
      <c r="G343"/>
      <c r="N343" s="154"/>
      <c r="O343" s="154"/>
    </row>
    <row r="344" spans="3:15" ht="15">
      <c r="C344"/>
      <c r="G344"/>
      <c r="N344" s="154"/>
      <c r="O344" s="154"/>
    </row>
    <row r="345" spans="3:15" ht="15">
      <c r="C345"/>
      <c r="G345"/>
      <c r="N345" s="154"/>
      <c r="O345" s="154"/>
    </row>
    <row r="346" spans="3:15" ht="15">
      <c r="C346"/>
      <c r="G346"/>
      <c r="N346" s="154"/>
      <c r="O346" s="154"/>
    </row>
    <row r="347" spans="3:15" ht="15">
      <c r="C347"/>
      <c r="G347"/>
      <c r="N347" s="154"/>
      <c r="O347" s="154"/>
    </row>
    <row r="348" spans="3:15" ht="15">
      <c r="C348"/>
      <c r="G348"/>
      <c r="N348" s="154"/>
      <c r="O348" s="154"/>
    </row>
    <row r="349" spans="3:15" ht="15">
      <c r="C349"/>
      <c r="G349"/>
      <c r="N349" s="154"/>
      <c r="O349" s="154"/>
    </row>
    <row r="350" spans="3:15" ht="15">
      <c r="C350"/>
      <c r="G350"/>
      <c r="N350" s="154"/>
      <c r="O350" s="154"/>
    </row>
    <row r="351" spans="3:15" ht="15">
      <c r="C351"/>
      <c r="G351"/>
      <c r="N351" s="154"/>
      <c r="O351" s="154"/>
    </row>
    <row r="352" spans="3:15" ht="15">
      <c r="C352"/>
      <c r="G352"/>
      <c r="N352" s="154"/>
      <c r="O352" s="154"/>
    </row>
    <row r="353" spans="3:15" ht="15">
      <c r="C353"/>
      <c r="G353"/>
      <c r="N353" s="154"/>
      <c r="O353" s="154"/>
    </row>
    <row r="354" spans="3:15" ht="15">
      <c r="C354"/>
      <c r="G354"/>
      <c r="N354" s="154"/>
      <c r="O354" s="154"/>
    </row>
    <row r="355" spans="3:15" ht="15">
      <c r="C355"/>
      <c r="G355"/>
      <c r="N355" s="154"/>
      <c r="O355" s="154"/>
    </row>
    <row r="356" spans="3:15">
      <c r="N356" s="154"/>
      <c r="O356" s="154"/>
    </row>
    <row r="357" spans="3:15">
      <c r="N357" s="154"/>
      <c r="O357" s="154"/>
    </row>
    <row r="358" spans="3:15">
      <c r="N358" s="154"/>
      <c r="O358" s="154"/>
    </row>
    <row r="359" spans="3:15">
      <c r="N359" s="154"/>
      <c r="O359" s="154"/>
    </row>
    <row r="360" spans="3:15">
      <c r="N360" s="154"/>
      <c r="O360" s="154"/>
    </row>
    <row r="361" spans="3:15">
      <c r="N361" s="154"/>
      <c r="O361" s="154"/>
    </row>
    <row r="362" spans="3:15">
      <c r="N362" s="154"/>
      <c r="O362" s="154"/>
    </row>
    <row r="363" spans="3:15">
      <c r="N363" s="154"/>
      <c r="O363" s="154"/>
    </row>
    <row r="364" spans="3:15">
      <c r="N364" s="154"/>
      <c r="O364" s="154"/>
    </row>
    <row r="365" spans="3:15">
      <c r="N365" s="154"/>
      <c r="O365" s="154"/>
    </row>
    <row r="366" spans="3:15">
      <c r="N366" s="154"/>
      <c r="O366" s="154"/>
    </row>
    <row r="367" spans="3:15">
      <c r="N367" s="154"/>
      <c r="O367" s="154"/>
    </row>
    <row r="368" spans="3:15">
      <c r="N368" s="154"/>
      <c r="O368" s="154"/>
    </row>
    <row r="369" spans="14:15">
      <c r="N369" s="154"/>
      <c r="O369" s="154"/>
    </row>
    <row r="370" spans="14:15">
      <c r="N370" s="154"/>
      <c r="O370" s="154"/>
    </row>
    <row r="371" spans="14:15">
      <c r="N371" s="154"/>
      <c r="O371" s="154"/>
    </row>
    <row r="372" spans="14:15">
      <c r="N372" s="154"/>
      <c r="O372" s="154"/>
    </row>
    <row r="373" spans="14:15">
      <c r="N373" s="154"/>
      <c r="O373" s="154"/>
    </row>
    <row r="374" spans="14:15">
      <c r="N374" s="154"/>
      <c r="O374" s="154"/>
    </row>
    <row r="375" spans="14:15">
      <c r="N375" s="154"/>
      <c r="O375" s="154"/>
    </row>
    <row r="376" spans="14:15">
      <c r="N376" s="154"/>
      <c r="O376" s="154"/>
    </row>
    <row r="377" spans="14:15">
      <c r="N377" s="154"/>
      <c r="O377" s="154"/>
    </row>
    <row r="378" spans="14:15">
      <c r="N378" s="154"/>
      <c r="O378" s="154"/>
    </row>
    <row r="379" spans="14:15">
      <c r="N379" s="154"/>
      <c r="O379" s="154"/>
    </row>
    <row r="380" spans="14:15">
      <c r="N380" s="154"/>
      <c r="O380" s="154"/>
    </row>
    <row r="381" spans="14:15">
      <c r="N381" s="154"/>
      <c r="O381" s="154"/>
    </row>
    <row r="382" spans="14:15">
      <c r="N382" s="154"/>
      <c r="O382" s="154"/>
    </row>
    <row r="383" spans="14:15">
      <c r="N383" s="154"/>
      <c r="O383" s="154"/>
    </row>
    <row r="384" spans="14:15">
      <c r="N384" s="154"/>
      <c r="O384" s="154"/>
    </row>
    <row r="385" spans="14:15">
      <c r="N385" s="154"/>
      <c r="O385" s="154"/>
    </row>
    <row r="386" spans="14:15">
      <c r="N386" s="154"/>
      <c r="O386" s="154"/>
    </row>
    <row r="387" spans="14:15">
      <c r="N387" s="154"/>
      <c r="O387" s="154"/>
    </row>
    <row r="388" spans="14:15">
      <c r="N388" s="154"/>
      <c r="O388" s="154"/>
    </row>
    <row r="389" spans="14:15">
      <c r="N389" s="154"/>
      <c r="O389" s="154"/>
    </row>
    <row r="390" spans="14:15">
      <c r="N390" s="154"/>
      <c r="O390" s="154"/>
    </row>
    <row r="391" spans="14:15">
      <c r="N391" s="154"/>
      <c r="O391" s="154"/>
    </row>
    <row r="392" spans="14:15">
      <c r="N392" s="154"/>
      <c r="O392" s="154"/>
    </row>
    <row r="393" spans="14:15">
      <c r="N393" s="154"/>
      <c r="O393" s="154"/>
    </row>
    <row r="394" spans="14:15">
      <c r="N394" s="154"/>
      <c r="O394" s="154"/>
    </row>
    <row r="395" spans="14:15">
      <c r="N395" s="154"/>
      <c r="O395" s="154"/>
    </row>
    <row r="396" spans="14:15">
      <c r="N396" s="154"/>
      <c r="O396" s="154"/>
    </row>
    <row r="397" spans="14:15">
      <c r="N397" s="154"/>
      <c r="O397" s="154"/>
    </row>
    <row r="398" spans="14:15">
      <c r="N398" s="154"/>
      <c r="O398" s="154"/>
    </row>
    <row r="399" spans="14:15">
      <c r="N399" s="154"/>
      <c r="O399" s="154"/>
    </row>
    <row r="400" spans="14:15">
      <c r="N400" s="154"/>
      <c r="O400" s="154"/>
    </row>
    <row r="401" spans="14:15">
      <c r="N401" s="154"/>
      <c r="O401" s="154"/>
    </row>
    <row r="402" spans="14:15">
      <c r="N402" s="154"/>
      <c r="O402" s="154"/>
    </row>
    <row r="403" spans="14:15">
      <c r="N403" s="154"/>
      <c r="O403" s="154"/>
    </row>
    <row r="404" spans="14:15">
      <c r="N404" s="154"/>
      <c r="O404" s="154"/>
    </row>
    <row r="405" spans="14:15">
      <c r="N405" s="154"/>
      <c r="O405" s="154"/>
    </row>
    <row r="406" spans="14:15">
      <c r="N406" s="154"/>
      <c r="O406" s="154"/>
    </row>
    <row r="407" spans="14:15">
      <c r="N407" s="154"/>
      <c r="O407" s="154"/>
    </row>
    <row r="408" spans="14:15">
      <c r="N408" s="154"/>
      <c r="O408" s="154"/>
    </row>
    <row r="409" spans="14:15">
      <c r="N409" s="154"/>
      <c r="O409" s="154"/>
    </row>
    <row r="410" spans="14:15">
      <c r="N410" s="154"/>
      <c r="O410" s="154"/>
    </row>
    <row r="411" spans="14:15">
      <c r="N411" s="154"/>
      <c r="O411" s="154"/>
    </row>
    <row r="412" spans="14:15">
      <c r="N412" s="154"/>
      <c r="O412" s="154"/>
    </row>
    <row r="413" spans="14:15">
      <c r="N413" s="154"/>
      <c r="O413" s="154"/>
    </row>
    <row r="414" spans="14:15">
      <c r="N414" s="154"/>
      <c r="O414" s="154"/>
    </row>
    <row r="415" spans="14:15">
      <c r="N415" s="154"/>
      <c r="O415" s="154"/>
    </row>
    <row r="416" spans="14:15">
      <c r="N416" s="154"/>
      <c r="O416" s="154"/>
    </row>
    <row r="417" spans="14:15">
      <c r="N417" s="154"/>
      <c r="O417" s="154"/>
    </row>
    <row r="418" spans="14:15">
      <c r="N418" s="154"/>
      <c r="O418" s="154"/>
    </row>
    <row r="419" spans="14:15">
      <c r="N419" s="154"/>
      <c r="O419" s="154"/>
    </row>
    <row r="420" spans="14:15">
      <c r="N420" s="154"/>
      <c r="O420" s="154"/>
    </row>
    <row r="421" spans="14:15">
      <c r="N421" s="154"/>
      <c r="O421" s="154"/>
    </row>
    <row r="422" spans="14:15">
      <c r="N422" s="154"/>
      <c r="O422" s="154"/>
    </row>
    <row r="423" spans="14:15">
      <c r="N423" s="154"/>
      <c r="O423" s="154"/>
    </row>
    <row r="424" spans="14:15">
      <c r="N424" s="154"/>
      <c r="O424" s="154"/>
    </row>
    <row r="425" spans="14:15">
      <c r="N425" s="154"/>
      <c r="O425" s="154"/>
    </row>
    <row r="426" spans="14:15">
      <c r="N426" s="154"/>
      <c r="O426" s="154"/>
    </row>
    <row r="427" spans="14:15">
      <c r="N427" s="154"/>
      <c r="O427" s="154"/>
    </row>
    <row r="428" spans="14:15">
      <c r="N428" s="154"/>
      <c r="O428" s="154"/>
    </row>
    <row r="429" spans="14:15">
      <c r="N429" s="154"/>
      <c r="O429" s="154"/>
    </row>
    <row r="430" spans="14:15">
      <c r="N430" s="154"/>
      <c r="O430" s="154"/>
    </row>
    <row r="431" spans="14:15">
      <c r="N431" s="154"/>
      <c r="O431" s="154"/>
    </row>
    <row r="432" spans="14:15">
      <c r="N432" s="154"/>
      <c r="O432" s="154"/>
    </row>
    <row r="433" spans="14:15">
      <c r="N433" s="154"/>
      <c r="O433" s="154"/>
    </row>
    <row r="434" spans="14:15">
      <c r="N434" s="154"/>
      <c r="O434" s="154"/>
    </row>
    <row r="435" spans="14:15">
      <c r="N435" s="154"/>
      <c r="O435" s="154"/>
    </row>
    <row r="436" spans="14:15">
      <c r="N436" s="154"/>
      <c r="O436" s="154"/>
    </row>
    <row r="437" spans="14:15">
      <c r="N437" s="154"/>
      <c r="O437" s="154"/>
    </row>
    <row r="438" spans="14:15">
      <c r="N438" s="154"/>
      <c r="O438" s="154"/>
    </row>
    <row r="439" spans="14:15">
      <c r="N439" s="154"/>
      <c r="O439" s="154"/>
    </row>
    <row r="440" spans="14:15">
      <c r="N440" s="154"/>
      <c r="O440" s="154"/>
    </row>
    <row r="441" spans="14:15">
      <c r="N441" s="154"/>
      <c r="O441" s="154"/>
    </row>
    <row r="442" spans="14:15">
      <c r="N442" s="154"/>
      <c r="O442" s="154"/>
    </row>
    <row r="443" spans="14:15">
      <c r="N443" s="154"/>
      <c r="O443" s="154"/>
    </row>
    <row r="444" spans="14:15">
      <c r="N444" s="154"/>
      <c r="O444" s="154"/>
    </row>
    <row r="445" spans="14:15">
      <c r="N445" s="154"/>
      <c r="O445" s="154"/>
    </row>
    <row r="446" spans="14:15">
      <c r="N446" s="154"/>
      <c r="O446" s="154"/>
    </row>
    <row r="447" spans="14:15">
      <c r="N447" s="154"/>
      <c r="O447" s="154"/>
    </row>
    <row r="448" spans="14:15">
      <c r="N448" s="154"/>
      <c r="O448" s="154"/>
    </row>
    <row r="449" spans="14:15">
      <c r="N449" s="154"/>
      <c r="O449" s="154"/>
    </row>
    <row r="450" spans="14:15">
      <c r="N450" s="154"/>
      <c r="O450" s="154"/>
    </row>
    <row r="451" spans="14:15">
      <c r="N451" s="154"/>
      <c r="O451" s="154"/>
    </row>
    <row r="452" spans="14:15">
      <c r="N452" s="154"/>
      <c r="O452" s="154"/>
    </row>
    <row r="453" spans="14:15">
      <c r="N453" s="154"/>
      <c r="O453" s="154"/>
    </row>
    <row r="454" spans="14:15">
      <c r="N454" s="154"/>
      <c r="O454" s="154"/>
    </row>
    <row r="455" spans="14:15">
      <c r="N455" s="154"/>
      <c r="O455" s="154"/>
    </row>
    <row r="456" spans="14:15">
      <c r="N456" s="154"/>
      <c r="O456" s="154"/>
    </row>
    <row r="457" spans="14:15">
      <c r="N457" s="154"/>
      <c r="O457" s="154"/>
    </row>
    <row r="458" spans="14:15">
      <c r="N458" s="154"/>
      <c r="O458" s="154"/>
    </row>
    <row r="459" spans="14:15">
      <c r="N459" s="154"/>
      <c r="O459" s="154"/>
    </row>
    <row r="460" spans="14:15">
      <c r="N460" s="154"/>
      <c r="O460" s="154"/>
    </row>
    <row r="461" spans="14:15">
      <c r="N461" s="154"/>
      <c r="O461" s="154"/>
    </row>
    <row r="462" spans="14:15">
      <c r="N462" s="154"/>
      <c r="O462" s="154"/>
    </row>
    <row r="463" spans="14:15">
      <c r="N463" s="154"/>
      <c r="O463" s="154"/>
    </row>
    <row r="464" spans="14:15">
      <c r="N464" s="154"/>
      <c r="O464" s="154"/>
    </row>
    <row r="465" spans="14:15">
      <c r="N465" s="154"/>
      <c r="O465" s="154"/>
    </row>
    <row r="466" spans="14:15">
      <c r="N466" s="154"/>
      <c r="O466" s="154"/>
    </row>
    <row r="467" spans="14:15">
      <c r="N467" s="154"/>
      <c r="O467" s="154"/>
    </row>
    <row r="468" spans="14:15">
      <c r="N468" s="154"/>
      <c r="O468" s="154"/>
    </row>
    <row r="469" spans="14:15">
      <c r="N469" s="154"/>
      <c r="O469" s="154"/>
    </row>
    <row r="470" spans="14:15">
      <c r="N470" s="154"/>
      <c r="O470" s="154"/>
    </row>
    <row r="471" spans="14:15">
      <c r="N471" s="154"/>
      <c r="O471" s="154"/>
    </row>
    <row r="472" spans="14:15">
      <c r="N472" s="154"/>
      <c r="O472" s="154"/>
    </row>
    <row r="473" spans="14:15">
      <c r="N473" s="154"/>
      <c r="O473" s="154"/>
    </row>
    <row r="474" spans="14:15">
      <c r="N474" s="154"/>
      <c r="O474" s="154"/>
    </row>
    <row r="475" spans="14:15">
      <c r="N475" s="154"/>
      <c r="O475" s="154"/>
    </row>
    <row r="476" spans="14:15">
      <c r="N476" s="154"/>
      <c r="O476" s="154"/>
    </row>
    <row r="477" spans="14:15">
      <c r="N477" s="154"/>
      <c r="O477" s="154"/>
    </row>
    <row r="478" spans="14:15">
      <c r="N478" s="154"/>
      <c r="O478" s="154"/>
    </row>
    <row r="479" spans="14:15">
      <c r="N479" s="154"/>
      <c r="O479" s="154"/>
    </row>
    <row r="480" spans="14:15">
      <c r="N480" s="154"/>
      <c r="O480" s="154"/>
    </row>
    <row r="481" spans="14:15">
      <c r="N481" s="154"/>
      <c r="O481" s="154"/>
    </row>
    <row r="482" spans="14:15">
      <c r="N482" s="154"/>
      <c r="O482" s="154"/>
    </row>
    <row r="483" spans="14:15">
      <c r="N483" s="154"/>
      <c r="O483" s="154"/>
    </row>
    <row r="484" spans="14:15">
      <c r="N484" s="154"/>
      <c r="O484" s="154"/>
    </row>
    <row r="485" spans="14:15">
      <c r="N485" s="154"/>
      <c r="O485" s="154"/>
    </row>
    <row r="486" spans="14:15">
      <c r="N486" s="154"/>
      <c r="O486" s="154"/>
    </row>
    <row r="487" spans="14:15">
      <c r="N487" s="154"/>
      <c r="O487" s="154"/>
    </row>
    <row r="488" spans="14:15">
      <c r="N488" s="154"/>
      <c r="O488" s="154"/>
    </row>
    <row r="489" spans="14:15">
      <c r="N489" s="154"/>
      <c r="O489" s="154"/>
    </row>
    <row r="490" spans="14:15">
      <c r="N490" s="154"/>
      <c r="O490" s="154"/>
    </row>
    <row r="491" spans="14:15">
      <c r="N491" s="154"/>
      <c r="O491" s="154"/>
    </row>
    <row r="492" spans="14:15">
      <c r="N492" s="154"/>
      <c r="O492" s="154"/>
    </row>
    <row r="493" spans="14:15">
      <c r="N493" s="154"/>
      <c r="O493" s="154"/>
    </row>
    <row r="494" spans="14:15">
      <c r="N494" s="154"/>
      <c r="O494" s="154"/>
    </row>
    <row r="495" spans="14:15">
      <c r="N495" s="154"/>
      <c r="O495" s="154"/>
    </row>
    <row r="496" spans="14:15">
      <c r="N496" s="154"/>
      <c r="O496" s="154"/>
    </row>
    <row r="497" spans="14:15">
      <c r="N497" s="154"/>
      <c r="O497" s="154"/>
    </row>
    <row r="498" spans="14:15">
      <c r="N498" s="154"/>
      <c r="O498" s="154"/>
    </row>
    <row r="499" spans="14:15">
      <c r="N499" s="154"/>
      <c r="O499" s="154"/>
    </row>
    <row r="500" spans="14:15">
      <c r="N500" s="154"/>
      <c r="O500" s="154"/>
    </row>
    <row r="501" spans="14:15">
      <c r="N501" s="154"/>
      <c r="O501" s="154"/>
    </row>
    <row r="502" spans="14:15">
      <c r="N502" s="154"/>
      <c r="O502" s="154"/>
    </row>
    <row r="503" spans="14:15">
      <c r="N503" s="154"/>
      <c r="O503" s="154"/>
    </row>
    <row r="504" spans="14:15">
      <c r="N504" s="154"/>
      <c r="O504" s="154"/>
    </row>
    <row r="505" spans="14:15">
      <c r="N505" s="154"/>
      <c r="O505" s="154"/>
    </row>
    <row r="506" spans="14:15">
      <c r="N506" s="154"/>
      <c r="O506" s="154"/>
    </row>
    <row r="507" spans="14:15">
      <c r="N507" s="154"/>
      <c r="O507" s="154"/>
    </row>
    <row r="508" spans="14:15">
      <c r="N508" s="154"/>
      <c r="O508" s="154"/>
    </row>
    <row r="509" spans="14:15">
      <c r="N509" s="154"/>
      <c r="O509" s="154"/>
    </row>
    <row r="510" spans="14:15">
      <c r="N510" s="154"/>
      <c r="O510" s="154"/>
    </row>
    <row r="511" spans="14:15">
      <c r="N511" s="154"/>
      <c r="O511" s="154"/>
    </row>
    <row r="512" spans="14:15">
      <c r="N512" s="154"/>
      <c r="O512" s="154"/>
    </row>
    <row r="513" spans="14:15">
      <c r="N513" s="154"/>
      <c r="O513" s="154"/>
    </row>
    <row r="514" spans="14:15">
      <c r="N514" s="154"/>
      <c r="O514" s="154"/>
    </row>
    <row r="515" spans="14:15">
      <c r="N515" s="154"/>
      <c r="O515" s="154"/>
    </row>
    <row r="516" spans="14:15">
      <c r="N516" s="154"/>
      <c r="O516" s="154"/>
    </row>
    <row r="517" spans="14:15">
      <c r="N517" s="154"/>
      <c r="O517" s="154"/>
    </row>
    <row r="518" spans="14:15">
      <c r="N518" s="154">
        <f t="shared" ref="N518:O563" si="32">N381-N456</f>
        <v>0</v>
      </c>
      <c r="O518" s="154">
        <f t="shared" si="32"/>
        <v>0</v>
      </c>
    </row>
    <row r="519" spans="14:15">
      <c r="N519" s="154">
        <f t="shared" si="32"/>
        <v>0</v>
      </c>
      <c r="O519" s="154">
        <f t="shared" si="32"/>
        <v>0</v>
      </c>
    </row>
    <row r="520" spans="14:15">
      <c r="N520" s="154">
        <f t="shared" si="32"/>
        <v>0</v>
      </c>
      <c r="O520" s="154">
        <f t="shared" si="32"/>
        <v>0</v>
      </c>
    </row>
    <row r="521" spans="14:15">
      <c r="N521" s="154">
        <f t="shared" si="32"/>
        <v>0</v>
      </c>
      <c r="O521" s="154">
        <f t="shared" si="32"/>
        <v>0</v>
      </c>
    </row>
    <row r="522" spans="14:15">
      <c r="N522" s="154">
        <f t="shared" si="32"/>
        <v>0</v>
      </c>
      <c r="O522" s="154">
        <f t="shared" si="32"/>
        <v>0</v>
      </c>
    </row>
    <row r="523" spans="14:15">
      <c r="N523" s="154">
        <f t="shared" si="32"/>
        <v>0</v>
      </c>
      <c r="O523" s="154">
        <f t="shared" si="32"/>
        <v>0</v>
      </c>
    </row>
    <row r="524" spans="14:15">
      <c r="N524" s="154">
        <f t="shared" si="32"/>
        <v>0</v>
      </c>
      <c r="O524" s="154">
        <f t="shared" si="32"/>
        <v>0</v>
      </c>
    </row>
    <row r="525" spans="14:15">
      <c r="N525" s="154">
        <f t="shared" si="32"/>
        <v>0</v>
      </c>
      <c r="O525" s="154">
        <f t="shared" si="32"/>
        <v>0</v>
      </c>
    </row>
    <row r="526" spans="14:15">
      <c r="N526" s="154">
        <f t="shared" si="32"/>
        <v>0</v>
      </c>
      <c r="O526" s="154">
        <f t="shared" si="32"/>
        <v>0</v>
      </c>
    </row>
    <row r="527" spans="14:15">
      <c r="N527" s="154">
        <f t="shared" si="32"/>
        <v>0</v>
      </c>
      <c r="O527" s="154">
        <f t="shared" si="32"/>
        <v>0</v>
      </c>
    </row>
    <row r="528" spans="14:15">
      <c r="N528" s="154">
        <f t="shared" si="32"/>
        <v>0</v>
      </c>
      <c r="O528" s="154">
        <f t="shared" si="32"/>
        <v>0</v>
      </c>
    </row>
    <row r="529" spans="14:15">
      <c r="N529" s="154">
        <f t="shared" si="32"/>
        <v>0</v>
      </c>
      <c r="O529" s="154">
        <f t="shared" si="32"/>
        <v>0</v>
      </c>
    </row>
    <row r="530" spans="14:15">
      <c r="N530" s="154">
        <f t="shared" si="32"/>
        <v>0</v>
      </c>
      <c r="O530" s="154">
        <f t="shared" si="32"/>
        <v>0</v>
      </c>
    </row>
    <row r="531" spans="14:15">
      <c r="N531" s="154">
        <f t="shared" si="32"/>
        <v>0</v>
      </c>
      <c r="O531" s="154">
        <f t="shared" si="32"/>
        <v>0</v>
      </c>
    </row>
    <row r="532" spans="14:15">
      <c r="N532" s="154">
        <f t="shared" si="32"/>
        <v>0</v>
      </c>
      <c r="O532" s="154">
        <f t="shared" si="32"/>
        <v>0</v>
      </c>
    </row>
    <row r="533" spans="14:15">
      <c r="N533" s="154">
        <f t="shared" si="32"/>
        <v>0</v>
      </c>
      <c r="O533" s="154">
        <f t="shared" si="32"/>
        <v>0</v>
      </c>
    </row>
    <row r="534" spans="14:15">
      <c r="N534" s="154">
        <f t="shared" si="32"/>
        <v>0</v>
      </c>
      <c r="O534" s="154">
        <f t="shared" si="32"/>
        <v>0</v>
      </c>
    </row>
    <row r="535" spans="14:15">
      <c r="N535" s="154">
        <f t="shared" si="32"/>
        <v>0</v>
      </c>
      <c r="O535" s="154">
        <f t="shared" si="32"/>
        <v>0</v>
      </c>
    </row>
    <row r="536" spans="14:15">
      <c r="N536" s="154">
        <f t="shared" si="32"/>
        <v>0</v>
      </c>
      <c r="O536" s="154">
        <f t="shared" si="32"/>
        <v>0</v>
      </c>
    </row>
    <row r="537" spans="14:15">
      <c r="N537" s="154">
        <f t="shared" si="32"/>
        <v>0</v>
      </c>
      <c r="O537" s="154">
        <f t="shared" si="32"/>
        <v>0</v>
      </c>
    </row>
    <row r="538" spans="14:15">
      <c r="N538" s="154">
        <f t="shared" si="32"/>
        <v>0</v>
      </c>
      <c r="O538" s="154">
        <f t="shared" si="32"/>
        <v>0</v>
      </c>
    </row>
    <row r="539" spans="14:15">
      <c r="N539" s="154">
        <f t="shared" si="32"/>
        <v>0</v>
      </c>
      <c r="O539" s="154">
        <f t="shared" si="32"/>
        <v>0</v>
      </c>
    </row>
    <row r="540" spans="14:15">
      <c r="N540" s="154">
        <f t="shared" si="32"/>
        <v>0</v>
      </c>
      <c r="O540" s="154">
        <f t="shared" si="32"/>
        <v>0</v>
      </c>
    </row>
    <row r="541" spans="14:15">
      <c r="N541" s="154">
        <f t="shared" si="32"/>
        <v>0</v>
      </c>
      <c r="O541" s="154">
        <f t="shared" si="32"/>
        <v>0</v>
      </c>
    </row>
    <row r="542" spans="14:15">
      <c r="N542" s="154">
        <f t="shared" si="32"/>
        <v>0</v>
      </c>
      <c r="O542" s="154">
        <f t="shared" si="32"/>
        <v>0</v>
      </c>
    </row>
    <row r="543" spans="14:15">
      <c r="N543" s="154">
        <f t="shared" si="32"/>
        <v>0</v>
      </c>
      <c r="O543" s="154">
        <f t="shared" si="32"/>
        <v>0</v>
      </c>
    </row>
    <row r="544" spans="14:15">
      <c r="N544" s="154">
        <f t="shared" si="32"/>
        <v>0</v>
      </c>
      <c r="O544" s="154">
        <f t="shared" si="32"/>
        <v>0</v>
      </c>
    </row>
    <row r="545" spans="14:15">
      <c r="N545" s="154">
        <f t="shared" si="32"/>
        <v>0</v>
      </c>
      <c r="O545" s="154">
        <f t="shared" si="32"/>
        <v>0</v>
      </c>
    </row>
    <row r="546" spans="14:15">
      <c r="N546" s="154">
        <f t="shared" si="32"/>
        <v>0</v>
      </c>
      <c r="O546" s="154">
        <f t="shared" si="32"/>
        <v>0</v>
      </c>
    </row>
    <row r="547" spans="14:15">
      <c r="N547" s="154">
        <f t="shared" si="32"/>
        <v>0</v>
      </c>
      <c r="O547" s="154">
        <f t="shared" si="32"/>
        <v>0</v>
      </c>
    </row>
    <row r="548" spans="14:15">
      <c r="N548" s="154">
        <f t="shared" si="32"/>
        <v>0</v>
      </c>
      <c r="O548" s="154">
        <f t="shared" si="32"/>
        <v>0</v>
      </c>
    </row>
    <row r="549" spans="14:15">
      <c r="N549" s="154">
        <f t="shared" si="32"/>
        <v>0</v>
      </c>
      <c r="O549" s="154">
        <f t="shared" si="32"/>
        <v>0</v>
      </c>
    </row>
    <row r="550" spans="14:15">
      <c r="N550" s="154">
        <f t="shared" si="32"/>
        <v>0</v>
      </c>
      <c r="O550" s="154">
        <f t="shared" si="32"/>
        <v>0</v>
      </c>
    </row>
    <row r="551" spans="14:15">
      <c r="N551" s="154">
        <f t="shared" si="32"/>
        <v>0</v>
      </c>
      <c r="O551" s="154">
        <f t="shared" si="32"/>
        <v>0</v>
      </c>
    </row>
    <row r="552" spans="14:15">
      <c r="N552" s="154">
        <f t="shared" si="32"/>
        <v>0</v>
      </c>
      <c r="O552" s="154">
        <f t="shared" si="32"/>
        <v>0</v>
      </c>
    </row>
    <row r="553" spans="14:15">
      <c r="N553" s="154">
        <f t="shared" si="32"/>
        <v>0</v>
      </c>
      <c r="O553" s="154">
        <f t="shared" si="32"/>
        <v>0</v>
      </c>
    </row>
    <row r="554" spans="14:15">
      <c r="N554" s="154">
        <f t="shared" si="32"/>
        <v>0</v>
      </c>
      <c r="O554" s="154">
        <f t="shared" si="32"/>
        <v>0</v>
      </c>
    </row>
    <row r="555" spans="14:15">
      <c r="N555" s="154">
        <f t="shared" si="32"/>
        <v>0</v>
      </c>
      <c r="O555" s="154">
        <f t="shared" si="32"/>
        <v>0</v>
      </c>
    </row>
    <row r="556" spans="14:15">
      <c r="N556" s="154">
        <f t="shared" si="32"/>
        <v>0</v>
      </c>
      <c r="O556" s="154">
        <f t="shared" si="32"/>
        <v>0</v>
      </c>
    </row>
    <row r="557" spans="14:15">
      <c r="N557" s="154">
        <f t="shared" si="32"/>
        <v>0</v>
      </c>
      <c r="O557" s="154">
        <f t="shared" si="32"/>
        <v>0</v>
      </c>
    </row>
    <row r="558" spans="14:15">
      <c r="N558" s="154">
        <f t="shared" si="32"/>
        <v>0</v>
      </c>
      <c r="O558" s="154">
        <f t="shared" si="32"/>
        <v>0</v>
      </c>
    </row>
    <row r="559" spans="14:15">
      <c r="N559" s="154">
        <f t="shared" si="32"/>
        <v>0</v>
      </c>
      <c r="O559" s="154">
        <f t="shared" si="32"/>
        <v>0</v>
      </c>
    </row>
    <row r="560" spans="14:15">
      <c r="N560" s="154">
        <f t="shared" si="32"/>
        <v>0</v>
      </c>
      <c r="O560" s="154">
        <f t="shared" si="32"/>
        <v>0</v>
      </c>
    </row>
    <row r="561" spans="14:15">
      <c r="N561" s="154">
        <f t="shared" si="32"/>
        <v>0</v>
      </c>
      <c r="O561" s="154">
        <f t="shared" si="32"/>
        <v>0</v>
      </c>
    </row>
    <row r="562" spans="14:15">
      <c r="N562" s="154">
        <f t="shared" si="32"/>
        <v>0</v>
      </c>
      <c r="O562" s="154">
        <f t="shared" si="32"/>
        <v>0</v>
      </c>
    </row>
    <row r="563" spans="14:15">
      <c r="N563" s="154">
        <f t="shared" si="32"/>
        <v>0</v>
      </c>
      <c r="O563" s="154">
        <f t="shared" si="32"/>
        <v>0</v>
      </c>
    </row>
    <row r="564" spans="14:15">
      <c r="N564" s="154">
        <f t="shared" ref="N564:O627" si="33">N427-N502</f>
        <v>0</v>
      </c>
      <c r="O564" s="154">
        <f t="shared" si="33"/>
        <v>0</v>
      </c>
    </row>
    <row r="565" spans="14:15">
      <c r="N565" s="154">
        <f t="shared" si="33"/>
        <v>0</v>
      </c>
      <c r="O565" s="154">
        <f t="shared" si="33"/>
        <v>0</v>
      </c>
    </row>
    <row r="566" spans="14:15">
      <c r="N566" s="154">
        <f t="shared" si="33"/>
        <v>0</v>
      </c>
      <c r="O566" s="154">
        <f t="shared" si="33"/>
        <v>0</v>
      </c>
    </row>
    <row r="567" spans="14:15">
      <c r="N567" s="154">
        <f t="shared" si="33"/>
        <v>0</v>
      </c>
      <c r="O567" s="154">
        <f t="shared" si="33"/>
        <v>0</v>
      </c>
    </row>
    <row r="568" spans="14:15">
      <c r="N568" s="154">
        <f t="shared" si="33"/>
        <v>0</v>
      </c>
      <c r="O568" s="154">
        <f t="shared" si="33"/>
        <v>0</v>
      </c>
    </row>
    <row r="569" spans="14:15">
      <c r="N569" s="154">
        <f t="shared" si="33"/>
        <v>0</v>
      </c>
      <c r="O569" s="154">
        <f t="shared" si="33"/>
        <v>0</v>
      </c>
    </row>
    <row r="570" spans="14:15">
      <c r="N570" s="154">
        <f t="shared" si="33"/>
        <v>0</v>
      </c>
      <c r="O570" s="154">
        <f t="shared" si="33"/>
        <v>0</v>
      </c>
    </row>
    <row r="571" spans="14:15">
      <c r="N571" s="154">
        <f t="shared" si="33"/>
        <v>0</v>
      </c>
      <c r="O571" s="154">
        <f t="shared" si="33"/>
        <v>0</v>
      </c>
    </row>
    <row r="572" spans="14:15">
      <c r="N572" s="154">
        <f t="shared" si="33"/>
        <v>0</v>
      </c>
      <c r="O572" s="154">
        <f t="shared" si="33"/>
        <v>0</v>
      </c>
    </row>
    <row r="573" spans="14:15">
      <c r="N573" s="154">
        <f t="shared" si="33"/>
        <v>0</v>
      </c>
      <c r="O573" s="154">
        <f t="shared" si="33"/>
        <v>0</v>
      </c>
    </row>
    <row r="574" spans="14:15">
      <c r="N574" s="154">
        <f t="shared" si="33"/>
        <v>0</v>
      </c>
      <c r="O574" s="154">
        <f t="shared" si="33"/>
        <v>0</v>
      </c>
    </row>
    <row r="575" spans="14:15">
      <c r="N575" s="154">
        <f t="shared" si="33"/>
        <v>0</v>
      </c>
      <c r="O575" s="154">
        <f t="shared" si="33"/>
        <v>0</v>
      </c>
    </row>
    <row r="576" spans="14:15">
      <c r="N576" s="154">
        <f t="shared" si="33"/>
        <v>0</v>
      </c>
      <c r="O576" s="154">
        <f t="shared" si="33"/>
        <v>0</v>
      </c>
    </row>
    <row r="577" spans="14:15">
      <c r="N577" s="154">
        <f t="shared" si="33"/>
        <v>0</v>
      </c>
      <c r="O577" s="154">
        <f t="shared" si="33"/>
        <v>0</v>
      </c>
    </row>
    <row r="578" spans="14:15">
      <c r="N578" s="154">
        <f t="shared" si="33"/>
        <v>0</v>
      </c>
      <c r="O578" s="154">
        <f t="shared" si="33"/>
        <v>0</v>
      </c>
    </row>
    <row r="579" spans="14:15">
      <c r="N579" s="154">
        <f t="shared" si="33"/>
        <v>0</v>
      </c>
      <c r="O579" s="154">
        <f t="shared" si="33"/>
        <v>0</v>
      </c>
    </row>
    <row r="580" spans="14:15">
      <c r="N580" s="154">
        <f t="shared" si="33"/>
        <v>0</v>
      </c>
      <c r="O580" s="154">
        <f t="shared" si="33"/>
        <v>0</v>
      </c>
    </row>
    <row r="581" spans="14:15">
      <c r="N581" s="154">
        <f t="shared" si="33"/>
        <v>0</v>
      </c>
      <c r="O581" s="154">
        <f t="shared" si="33"/>
        <v>0</v>
      </c>
    </row>
    <row r="582" spans="14:15">
      <c r="N582" s="154">
        <f t="shared" si="33"/>
        <v>0</v>
      </c>
      <c r="O582" s="154">
        <f t="shared" si="33"/>
        <v>0</v>
      </c>
    </row>
    <row r="583" spans="14:15">
      <c r="N583" s="154">
        <f t="shared" si="33"/>
        <v>0</v>
      </c>
      <c r="O583" s="154">
        <f t="shared" si="33"/>
        <v>0</v>
      </c>
    </row>
    <row r="584" spans="14:15">
      <c r="N584" s="154">
        <f t="shared" si="33"/>
        <v>0</v>
      </c>
      <c r="O584" s="154">
        <f t="shared" si="33"/>
        <v>0</v>
      </c>
    </row>
    <row r="585" spans="14:15">
      <c r="N585" s="154">
        <f t="shared" si="33"/>
        <v>0</v>
      </c>
      <c r="O585" s="154">
        <f t="shared" si="33"/>
        <v>0</v>
      </c>
    </row>
    <row r="586" spans="14:15">
      <c r="N586" s="154">
        <f t="shared" si="33"/>
        <v>0</v>
      </c>
      <c r="O586" s="154">
        <f t="shared" si="33"/>
        <v>0</v>
      </c>
    </row>
    <row r="587" spans="14:15">
      <c r="N587" s="154">
        <f t="shared" si="33"/>
        <v>0</v>
      </c>
      <c r="O587" s="154">
        <f t="shared" si="33"/>
        <v>0</v>
      </c>
    </row>
    <row r="588" spans="14:15">
      <c r="N588" s="154">
        <f t="shared" si="33"/>
        <v>0</v>
      </c>
      <c r="O588" s="154">
        <f t="shared" si="33"/>
        <v>0</v>
      </c>
    </row>
    <row r="589" spans="14:15">
      <c r="N589" s="154">
        <f t="shared" si="33"/>
        <v>0</v>
      </c>
      <c r="O589" s="154">
        <f t="shared" si="33"/>
        <v>0</v>
      </c>
    </row>
    <row r="590" spans="14:15">
      <c r="N590" s="154">
        <f t="shared" si="33"/>
        <v>0</v>
      </c>
      <c r="O590" s="154">
        <f t="shared" si="33"/>
        <v>0</v>
      </c>
    </row>
    <row r="591" spans="14:15">
      <c r="N591" s="154">
        <f t="shared" si="33"/>
        <v>0</v>
      </c>
      <c r="O591" s="154">
        <f t="shared" si="33"/>
        <v>0</v>
      </c>
    </row>
    <row r="592" spans="14:15">
      <c r="N592" s="154">
        <f t="shared" si="33"/>
        <v>0</v>
      </c>
      <c r="O592" s="154">
        <f t="shared" si="33"/>
        <v>0</v>
      </c>
    </row>
    <row r="593" spans="14:15">
      <c r="N593" s="154">
        <f t="shared" si="33"/>
        <v>0</v>
      </c>
      <c r="O593" s="154">
        <f t="shared" si="33"/>
        <v>0</v>
      </c>
    </row>
    <row r="594" spans="14:15">
      <c r="N594" s="154">
        <f t="shared" si="33"/>
        <v>0</v>
      </c>
      <c r="O594" s="154">
        <f t="shared" si="33"/>
        <v>0</v>
      </c>
    </row>
    <row r="595" spans="14:15">
      <c r="N595" s="154">
        <f t="shared" si="33"/>
        <v>0</v>
      </c>
      <c r="O595" s="154">
        <f t="shared" si="33"/>
        <v>0</v>
      </c>
    </row>
    <row r="596" spans="14:15">
      <c r="N596" s="154">
        <f t="shared" si="33"/>
        <v>0</v>
      </c>
      <c r="O596" s="154">
        <f t="shared" si="33"/>
        <v>0</v>
      </c>
    </row>
    <row r="597" spans="14:15">
      <c r="N597" s="154">
        <f t="shared" si="33"/>
        <v>0</v>
      </c>
      <c r="O597" s="154">
        <f t="shared" si="33"/>
        <v>0</v>
      </c>
    </row>
    <row r="598" spans="14:15">
      <c r="N598" s="154">
        <f t="shared" si="33"/>
        <v>0</v>
      </c>
      <c r="O598" s="154">
        <f t="shared" si="33"/>
        <v>0</v>
      </c>
    </row>
    <row r="599" spans="14:15">
      <c r="N599" s="154">
        <f t="shared" si="33"/>
        <v>0</v>
      </c>
      <c r="O599" s="154">
        <f t="shared" si="33"/>
        <v>0</v>
      </c>
    </row>
    <row r="600" spans="14:15">
      <c r="N600" s="154">
        <f t="shared" si="33"/>
        <v>0</v>
      </c>
      <c r="O600" s="154">
        <f t="shared" si="33"/>
        <v>0</v>
      </c>
    </row>
    <row r="601" spans="14:15">
      <c r="N601" s="154">
        <f t="shared" si="33"/>
        <v>0</v>
      </c>
      <c r="O601" s="154">
        <f t="shared" si="33"/>
        <v>0</v>
      </c>
    </row>
    <row r="602" spans="14:15">
      <c r="N602" s="154">
        <f t="shared" si="33"/>
        <v>0</v>
      </c>
      <c r="O602" s="154">
        <f t="shared" si="33"/>
        <v>0</v>
      </c>
    </row>
    <row r="603" spans="14:15">
      <c r="N603" s="154">
        <f t="shared" si="33"/>
        <v>0</v>
      </c>
      <c r="O603" s="154">
        <f t="shared" si="33"/>
        <v>0</v>
      </c>
    </row>
    <row r="604" spans="14:15">
      <c r="N604" s="154">
        <f t="shared" si="33"/>
        <v>0</v>
      </c>
      <c r="O604" s="154">
        <f t="shared" si="33"/>
        <v>0</v>
      </c>
    </row>
    <row r="605" spans="14:15">
      <c r="N605" s="154">
        <f t="shared" si="33"/>
        <v>0</v>
      </c>
      <c r="O605" s="154">
        <f t="shared" si="33"/>
        <v>0</v>
      </c>
    </row>
    <row r="606" spans="14:15">
      <c r="N606" s="154">
        <f t="shared" si="33"/>
        <v>0</v>
      </c>
      <c r="O606" s="154">
        <f t="shared" si="33"/>
        <v>0</v>
      </c>
    </row>
    <row r="607" spans="14:15">
      <c r="N607" s="154">
        <f t="shared" si="33"/>
        <v>0</v>
      </c>
      <c r="O607" s="154">
        <f t="shared" si="33"/>
        <v>0</v>
      </c>
    </row>
    <row r="608" spans="14:15">
      <c r="N608" s="154">
        <f t="shared" si="33"/>
        <v>0</v>
      </c>
      <c r="O608" s="154">
        <f t="shared" si="33"/>
        <v>0</v>
      </c>
    </row>
    <row r="609" spans="14:15">
      <c r="N609" s="154">
        <f t="shared" si="33"/>
        <v>0</v>
      </c>
      <c r="O609" s="154">
        <f t="shared" si="33"/>
        <v>0</v>
      </c>
    </row>
    <row r="610" spans="14:15">
      <c r="N610" s="154">
        <f t="shared" si="33"/>
        <v>0</v>
      </c>
      <c r="O610" s="154">
        <f t="shared" si="33"/>
        <v>0</v>
      </c>
    </row>
    <row r="611" spans="14:15">
      <c r="N611" s="154">
        <f t="shared" si="33"/>
        <v>0</v>
      </c>
      <c r="O611" s="154">
        <f t="shared" si="33"/>
        <v>0</v>
      </c>
    </row>
    <row r="612" spans="14:15">
      <c r="N612" s="154">
        <f t="shared" si="33"/>
        <v>0</v>
      </c>
      <c r="O612" s="154">
        <f t="shared" si="33"/>
        <v>0</v>
      </c>
    </row>
    <row r="613" spans="14:15">
      <c r="N613" s="154">
        <f t="shared" si="33"/>
        <v>0</v>
      </c>
      <c r="O613" s="154">
        <f t="shared" si="33"/>
        <v>0</v>
      </c>
    </row>
    <row r="614" spans="14:15">
      <c r="N614" s="154">
        <f t="shared" si="33"/>
        <v>0</v>
      </c>
      <c r="O614" s="154">
        <f t="shared" si="33"/>
        <v>0</v>
      </c>
    </row>
    <row r="615" spans="14:15">
      <c r="N615" s="154">
        <f t="shared" si="33"/>
        <v>0</v>
      </c>
      <c r="O615" s="154">
        <f t="shared" si="33"/>
        <v>0</v>
      </c>
    </row>
    <row r="616" spans="14:15">
      <c r="N616" s="154">
        <f t="shared" si="33"/>
        <v>0</v>
      </c>
      <c r="O616" s="154">
        <f t="shared" si="33"/>
        <v>0</v>
      </c>
    </row>
    <row r="617" spans="14:15">
      <c r="N617" s="154">
        <f t="shared" si="33"/>
        <v>0</v>
      </c>
      <c r="O617" s="154">
        <f t="shared" si="33"/>
        <v>0</v>
      </c>
    </row>
    <row r="618" spans="14:15">
      <c r="N618" s="154">
        <f t="shared" si="33"/>
        <v>0</v>
      </c>
      <c r="O618" s="154">
        <f t="shared" si="33"/>
        <v>0</v>
      </c>
    </row>
    <row r="619" spans="14:15">
      <c r="N619" s="154">
        <f t="shared" si="33"/>
        <v>0</v>
      </c>
      <c r="O619" s="154">
        <f t="shared" si="33"/>
        <v>0</v>
      </c>
    </row>
    <row r="620" spans="14:15">
      <c r="N620" s="154">
        <f t="shared" si="33"/>
        <v>0</v>
      </c>
      <c r="O620" s="154">
        <f t="shared" si="33"/>
        <v>0</v>
      </c>
    </row>
    <row r="621" spans="14:15">
      <c r="N621" s="154">
        <f t="shared" si="33"/>
        <v>0</v>
      </c>
      <c r="O621" s="154">
        <f t="shared" si="33"/>
        <v>0</v>
      </c>
    </row>
    <row r="622" spans="14:15">
      <c r="N622" s="154">
        <f t="shared" si="33"/>
        <v>0</v>
      </c>
      <c r="O622" s="154">
        <f t="shared" si="33"/>
        <v>0</v>
      </c>
    </row>
    <row r="623" spans="14:15">
      <c r="N623" s="154">
        <f t="shared" si="33"/>
        <v>0</v>
      </c>
      <c r="O623" s="154">
        <f t="shared" si="33"/>
        <v>0</v>
      </c>
    </row>
    <row r="624" spans="14:15">
      <c r="N624" s="154">
        <f t="shared" si="33"/>
        <v>0</v>
      </c>
      <c r="O624" s="154">
        <f t="shared" si="33"/>
        <v>0</v>
      </c>
    </row>
    <row r="625" spans="14:15">
      <c r="N625" s="154">
        <f t="shared" si="33"/>
        <v>0</v>
      </c>
      <c r="O625" s="154">
        <f t="shared" si="33"/>
        <v>0</v>
      </c>
    </row>
    <row r="626" spans="14:15">
      <c r="N626" s="154">
        <f t="shared" si="33"/>
        <v>0</v>
      </c>
      <c r="O626" s="154">
        <f t="shared" si="33"/>
        <v>0</v>
      </c>
    </row>
    <row r="627" spans="14:15">
      <c r="N627" s="154">
        <f t="shared" si="33"/>
        <v>0</v>
      </c>
      <c r="O627" s="154">
        <f t="shared" si="33"/>
        <v>0</v>
      </c>
    </row>
    <row r="628" spans="14:15">
      <c r="N628" s="154">
        <f t="shared" ref="N628:O691" si="34">N491-N566</f>
        <v>0</v>
      </c>
      <c r="O628" s="154">
        <f t="shared" si="34"/>
        <v>0</v>
      </c>
    </row>
    <row r="629" spans="14:15">
      <c r="N629" s="154">
        <f t="shared" si="34"/>
        <v>0</v>
      </c>
      <c r="O629" s="154">
        <f t="shared" si="34"/>
        <v>0</v>
      </c>
    </row>
    <row r="630" spans="14:15">
      <c r="N630" s="154">
        <f t="shared" si="34"/>
        <v>0</v>
      </c>
      <c r="O630" s="154">
        <f t="shared" si="34"/>
        <v>0</v>
      </c>
    </row>
    <row r="631" spans="14:15">
      <c r="N631" s="154">
        <f t="shared" si="34"/>
        <v>0</v>
      </c>
      <c r="O631" s="154">
        <f t="shared" si="34"/>
        <v>0</v>
      </c>
    </row>
    <row r="632" spans="14:15">
      <c r="N632" s="154">
        <f t="shared" si="34"/>
        <v>0</v>
      </c>
      <c r="O632" s="154">
        <f t="shared" si="34"/>
        <v>0</v>
      </c>
    </row>
    <row r="633" spans="14:15">
      <c r="N633" s="154">
        <f t="shared" si="34"/>
        <v>0</v>
      </c>
      <c r="O633" s="154">
        <f t="shared" si="34"/>
        <v>0</v>
      </c>
    </row>
    <row r="634" spans="14:15">
      <c r="N634" s="154">
        <f t="shared" si="34"/>
        <v>0</v>
      </c>
      <c r="O634" s="154">
        <f t="shared" si="34"/>
        <v>0</v>
      </c>
    </row>
    <row r="635" spans="14:15">
      <c r="N635" s="154">
        <f t="shared" si="34"/>
        <v>0</v>
      </c>
      <c r="O635" s="154">
        <f t="shared" si="34"/>
        <v>0</v>
      </c>
    </row>
    <row r="636" spans="14:15">
      <c r="N636" s="154">
        <f t="shared" si="34"/>
        <v>0</v>
      </c>
      <c r="O636" s="154">
        <f t="shared" si="34"/>
        <v>0</v>
      </c>
    </row>
    <row r="637" spans="14:15">
      <c r="N637" s="154">
        <f t="shared" si="34"/>
        <v>0</v>
      </c>
      <c r="O637" s="154">
        <f t="shared" si="34"/>
        <v>0</v>
      </c>
    </row>
    <row r="638" spans="14:15">
      <c r="N638" s="154">
        <f t="shared" si="34"/>
        <v>0</v>
      </c>
      <c r="O638" s="154">
        <f t="shared" si="34"/>
        <v>0</v>
      </c>
    </row>
    <row r="639" spans="14:15">
      <c r="N639" s="154">
        <f t="shared" si="34"/>
        <v>0</v>
      </c>
      <c r="O639" s="154">
        <f t="shared" si="34"/>
        <v>0</v>
      </c>
    </row>
    <row r="640" spans="14:15">
      <c r="N640" s="154">
        <f t="shared" si="34"/>
        <v>0</v>
      </c>
      <c r="O640" s="154">
        <f t="shared" si="34"/>
        <v>0</v>
      </c>
    </row>
    <row r="641" spans="14:15">
      <c r="N641" s="154">
        <f t="shared" si="34"/>
        <v>0</v>
      </c>
      <c r="O641" s="154">
        <f t="shared" si="34"/>
        <v>0</v>
      </c>
    </row>
    <row r="642" spans="14:15">
      <c r="N642" s="154">
        <f t="shared" si="34"/>
        <v>0</v>
      </c>
      <c r="O642" s="154">
        <f t="shared" si="34"/>
        <v>0</v>
      </c>
    </row>
    <row r="643" spans="14:15">
      <c r="N643" s="154">
        <f t="shared" si="34"/>
        <v>0</v>
      </c>
      <c r="O643" s="154">
        <f t="shared" si="34"/>
        <v>0</v>
      </c>
    </row>
    <row r="644" spans="14:15">
      <c r="N644" s="154">
        <f t="shared" si="34"/>
        <v>0</v>
      </c>
      <c r="O644" s="154">
        <f t="shared" si="34"/>
        <v>0</v>
      </c>
    </row>
    <row r="645" spans="14:15">
      <c r="N645" s="154">
        <f t="shared" si="34"/>
        <v>0</v>
      </c>
      <c r="O645" s="154">
        <f t="shared" si="34"/>
        <v>0</v>
      </c>
    </row>
    <row r="646" spans="14:15">
      <c r="N646" s="154">
        <f t="shared" si="34"/>
        <v>0</v>
      </c>
      <c r="O646" s="154">
        <f t="shared" si="34"/>
        <v>0</v>
      </c>
    </row>
    <row r="647" spans="14:15">
      <c r="N647" s="154">
        <f t="shared" si="34"/>
        <v>0</v>
      </c>
      <c r="O647" s="154">
        <f t="shared" si="34"/>
        <v>0</v>
      </c>
    </row>
    <row r="648" spans="14:15">
      <c r="N648" s="154">
        <f t="shared" si="34"/>
        <v>0</v>
      </c>
      <c r="O648" s="154">
        <f t="shared" si="34"/>
        <v>0</v>
      </c>
    </row>
    <row r="649" spans="14:15">
      <c r="N649" s="154">
        <f t="shared" si="34"/>
        <v>0</v>
      </c>
      <c r="O649" s="154">
        <f t="shared" si="34"/>
        <v>0</v>
      </c>
    </row>
    <row r="650" spans="14:15">
      <c r="N650" s="154">
        <f t="shared" si="34"/>
        <v>0</v>
      </c>
      <c r="O650" s="154">
        <f t="shared" si="34"/>
        <v>0</v>
      </c>
    </row>
    <row r="651" spans="14:15">
      <c r="N651" s="154">
        <f t="shared" si="34"/>
        <v>0</v>
      </c>
      <c r="O651" s="154">
        <f t="shared" si="34"/>
        <v>0</v>
      </c>
    </row>
    <row r="652" spans="14:15">
      <c r="N652" s="154">
        <f t="shared" si="34"/>
        <v>0</v>
      </c>
      <c r="O652" s="154">
        <f t="shared" si="34"/>
        <v>0</v>
      </c>
    </row>
    <row r="653" spans="14:15">
      <c r="N653" s="154">
        <f t="shared" si="34"/>
        <v>0</v>
      </c>
      <c r="O653" s="154">
        <f t="shared" si="34"/>
        <v>0</v>
      </c>
    </row>
    <row r="654" spans="14:15">
      <c r="N654" s="154">
        <f t="shared" si="34"/>
        <v>0</v>
      </c>
      <c r="O654" s="154">
        <f t="shared" si="34"/>
        <v>0</v>
      </c>
    </row>
    <row r="655" spans="14:15">
      <c r="N655" s="154">
        <f t="shared" si="34"/>
        <v>0</v>
      </c>
      <c r="O655" s="154">
        <f t="shared" si="34"/>
        <v>0</v>
      </c>
    </row>
    <row r="656" spans="14:15">
      <c r="N656" s="154">
        <f t="shared" si="34"/>
        <v>0</v>
      </c>
      <c r="O656" s="154">
        <f t="shared" si="34"/>
        <v>0</v>
      </c>
    </row>
    <row r="657" spans="14:15">
      <c r="N657" s="154">
        <f t="shared" si="34"/>
        <v>0</v>
      </c>
      <c r="O657" s="154">
        <f t="shared" si="34"/>
        <v>0</v>
      </c>
    </row>
    <row r="658" spans="14:15">
      <c r="N658" s="154">
        <f t="shared" si="34"/>
        <v>0</v>
      </c>
      <c r="O658" s="154">
        <f t="shared" si="34"/>
        <v>0</v>
      </c>
    </row>
    <row r="659" spans="14:15">
      <c r="N659" s="154">
        <f t="shared" si="34"/>
        <v>0</v>
      </c>
      <c r="O659" s="154">
        <f t="shared" si="34"/>
        <v>0</v>
      </c>
    </row>
    <row r="660" spans="14:15">
      <c r="N660" s="154">
        <f t="shared" si="34"/>
        <v>0</v>
      </c>
      <c r="O660" s="154">
        <f t="shared" si="34"/>
        <v>0</v>
      </c>
    </row>
    <row r="661" spans="14:15">
      <c r="N661" s="154">
        <f t="shared" si="34"/>
        <v>0</v>
      </c>
      <c r="O661" s="154">
        <f t="shared" si="34"/>
        <v>0</v>
      </c>
    </row>
    <row r="662" spans="14:15">
      <c r="N662" s="154">
        <f t="shared" si="34"/>
        <v>0</v>
      </c>
      <c r="O662" s="154">
        <f t="shared" si="34"/>
        <v>0</v>
      </c>
    </row>
    <row r="663" spans="14:15">
      <c r="N663" s="154">
        <f t="shared" si="34"/>
        <v>0</v>
      </c>
      <c r="O663" s="154">
        <f t="shared" si="34"/>
        <v>0</v>
      </c>
    </row>
    <row r="664" spans="14:15">
      <c r="N664" s="154">
        <f t="shared" si="34"/>
        <v>0</v>
      </c>
      <c r="O664" s="154">
        <f t="shared" si="34"/>
        <v>0</v>
      </c>
    </row>
    <row r="665" spans="14:15">
      <c r="N665" s="154">
        <f t="shared" si="34"/>
        <v>0</v>
      </c>
      <c r="O665" s="154">
        <f t="shared" si="34"/>
        <v>0</v>
      </c>
    </row>
    <row r="666" spans="14:15">
      <c r="N666" s="154">
        <f t="shared" si="34"/>
        <v>0</v>
      </c>
      <c r="O666" s="154">
        <f t="shared" si="34"/>
        <v>0</v>
      </c>
    </row>
    <row r="667" spans="14:15">
      <c r="N667" s="154">
        <f t="shared" si="34"/>
        <v>0</v>
      </c>
      <c r="O667" s="154">
        <f t="shared" si="34"/>
        <v>0</v>
      </c>
    </row>
    <row r="668" spans="14:15">
      <c r="N668" s="154">
        <f t="shared" si="34"/>
        <v>0</v>
      </c>
      <c r="O668" s="154">
        <f t="shared" si="34"/>
        <v>0</v>
      </c>
    </row>
    <row r="669" spans="14:15">
      <c r="N669" s="154">
        <f t="shared" si="34"/>
        <v>0</v>
      </c>
      <c r="O669" s="154">
        <f t="shared" si="34"/>
        <v>0</v>
      </c>
    </row>
    <row r="670" spans="14:15">
      <c r="N670" s="154">
        <f t="shared" si="34"/>
        <v>0</v>
      </c>
      <c r="O670" s="154">
        <f t="shared" si="34"/>
        <v>0</v>
      </c>
    </row>
    <row r="671" spans="14:15">
      <c r="N671" s="154">
        <f t="shared" si="34"/>
        <v>0</v>
      </c>
      <c r="O671" s="154">
        <f t="shared" si="34"/>
        <v>0</v>
      </c>
    </row>
    <row r="672" spans="14:15">
      <c r="N672" s="154">
        <f t="shared" si="34"/>
        <v>0</v>
      </c>
      <c r="O672" s="154">
        <f t="shared" si="34"/>
        <v>0</v>
      </c>
    </row>
    <row r="673" spans="14:15">
      <c r="N673" s="154">
        <f t="shared" si="34"/>
        <v>0</v>
      </c>
      <c r="O673" s="154">
        <f t="shared" si="34"/>
        <v>0</v>
      </c>
    </row>
    <row r="674" spans="14:15">
      <c r="N674" s="154">
        <f t="shared" si="34"/>
        <v>0</v>
      </c>
      <c r="O674" s="154">
        <f t="shared" si="34"/>
        <v>0</v>
      </c>
    </row>
    <row r="675" spans="14:15">
      <c r="N675" s="154">
        <f t="shared" si="34"/>
        <v>0</v>
      </c>
      <c r="O675" s="154">
        <f t="shared" si="34"/>
        <v>0</v>
      </c>
    </row>
    <row r="676" spans="14:15">
      <c r="N676" s="154">
        <f t="shared" si="34"/>
        <v>0</v>
      </c>
      <c r="O676" s="154">
        <f t="shared" si="34"/>
        <v>0</v>
      </c>
    </row>
    <row r="677" spans="14:15">
      <c r="N677" s="154">
        <f t="shared" si="34"/>
        <v>0</v>
      </c>
      <c r="O677" s="154">
        <f t="shared" si="34"/>
        <v>0</v>
      </c>
    </row>
    <row r="678" spans="14:15">
      <c r="N678" s="154">
        <f t="shared" si="34"/>
        <v>0</v>
      </c>
      <c r="O678" s="154">
        <f t="shared" si="34"/>
        <v>0</v>
      </c>
    </row>
    <row r="679" spans="14:15">
      <c r="N679" s="154">
        <f t="shared" si="34"/>
        <v>0</v>
      </c>
      <c r="O679" s="154">
        <f t="shared" si="34"/>
        <v>0</v>
      </c>
    </row>
    <row r="680" spans="14:15">
      <c r="N680" s="154">
        <f t="shared" si="34"/>
        <v>0</v>
      </c>
      <c r="O680" s="154">
        <f t="shared" si="34"/>
        <v>0</v>
      </c>
    </row>
    <row r="681" spans="14:15">
      <c r="N681" s="154">
        <f t="shared" si="34"/>
        <v>0</v>
      </c>
      <c r="O681" s="154">
        <f t="shared" si="34"/>
        <v>0</v>
      </c>
    </row>
    <row r="682" spans="14:15">
      <c r="N682" s="154">
        <f t="shared" si="34"/>
        <v>0</v>
      </c>
      <c r="O682" s="154">
        <f t="shared" si="34"/>
        <v>0</v>
      </c>
    </row>
    <row r="683" spans="14:15">
      <c r="N683" s="154">
        <f t="shared" si="34"/>
        <v>0</v>
      </c>
      <c r="O683" s="154">
        <f t="shared" si="34"/>
        <v>0</v>
      </c>
    </row>
    <row r="684" spans="14:15">
      <c r="N684" s="154">
        <f t="shared" si="34"/>
        <v>0</v>
      </c>
      <c r="O684" s="154">
        <f t="shared" si="34"/>
        <v>0</v>
      </c>
    </row>
    <row r="685" spans="14:15">
      <c r="N685" s="154">
        <f t="shared" si="34"/>
        <v>0</v>
      </c>
      <c r="O685" s="154">
        <f t="shared" si="34"/>
        <v>0</v>
      </c>
    </row>
    <row r="686" spans="14:15">
      <c r="N686" s="154">
        <f t="shared" si="34"/>
        <v>0</v>
      </c>
      <c r="O686" s="154">
        <f t="shared" si="34"/>
        <v>0</v>
      </c>
    </row>
    <row r="687" spans="14:15">
      <c r="N687" s="154">
        <f t="shared" si="34"/>
        <v>0</v>
      </c>
      <c r="O687" s="154">
        <f t="shared" si="34"/>
        <v>0</v>
      </c>
    </row>
    <row r="688" spans="14:15">
      <c r="N688" s="154">
        <f t="shared" si="34"/>
        <v>0</v>
      </c>
      <c r="O688" s="154">
        <f t="shared" si="34"/>
        <v>0</v>
      </c>
    </row>
    <row r="689" spans="14:15">
      <c r="N689" s="154">
        <f t="shared" si="34"/>
        <v>0</v>
      </c>
      <c r="O689" s="154">
        <f t="shared" si="34"/>
        <v>0</v>
      </c>
    </row>
    <row r="690" spans="14:15">
      <c r="N690" s="154">
        <f t="shared" si="34"/>
        <v>0</v>
      </c>
      <c r="O690" s="154">
        <f t="shared" si="34"/>
        <v>0</v>
      </c>
    </row>
    <row r="691" spans="14:15">
      <c r="N691" s="154">
        <f t="shared" si="34"/>
        <v>0</v>
      </c>
      <c r="O691" s="154">
        <f t="shared" si="34"/>
        <v>0</v>
      </c>
    </row>
    <row r="692" spans="14:15">
      <c r="N692" s="154">
        <f t="shared" ref="N692:O748" si="35">N555-N630</f>
        <v>0</v>
      </c>
      <c r="O692" s="154">
        <f t="shared" si="35"/>
        <v>0</v>
      </c>
    </row>
    <row r="693" spans="14:15">
      <c r="N693" s="154">
        <f t="shared" si="35"/>
        <v>0</v>
      </c>
      <c r="O693" s="154">
        <f t="shared" si="35"/>
        <v>0</v>
      </c>
    </row>
    <row r="694" spans="14:15">
      <c r="N694" s="154">
        <f t="shared" si="35"/>
        <v>0</v>
      </c>
      <c r="O694" s="154">
        <f t="shared" si="35"/>
        <v>0</v>
      </c>
    </row>
    <row r="695" spans="14:15">
      <c r="N695" s="154">
        <f t="shared" si="35"/>
        <v>0</v>
      </c>
      <c r="O695" s="154">
        <f t="shared" si="35"/>
        <v>0</v>
      </c>
    </row>
    <row r="696" spans="14:15">
      <c r="N696" s="154">
        <f t="shared" si="35"/>
        <v>0</v>
      </c>
      <c r="O696" s="154">
        <f t="shared" si="35"/>
        <v>0</v>
      </c>
    </row>
    <row r="697" spans="14:15">
      <c r="N697" s="154">
        <f t="shared" si="35"/>
        <v>0</v>
      </c>
      <c r="O697" s="154">
        <f t="shared" si="35"/>
        <v>0</v>
      </c>
    </row>
    <row r="698" spans="14:15">
      <c r="N698" s="154">
        <f t="shared" si="35"/>
        <v>0</v>
      </c>
      <c r="O698" s="154">
        <f t="shared" si="35"/>
        <v>0</v>
      </c>
    </row>
    <row r="699" spans="14:15">
      <c r="N699" s="154">
        <f t="shared" si="35"/>
        <v>0</v>
      </c>
      <c r="O699" s="154">
        <f t="shared" si="35"/>
        <v>0</v>
      </c>
    </row>
    <row r="700" spans="14:15">
      <c r="N700" s="154">
        <f t="shared" si="35"/>
        <v>0</v>
      </c>
      <c r="O700" s="154">
        <f t="shared" si="35"/>
        <v>0</v>
      </c>
    </row>
    <row r="701" spans="14:15">
      <c r="N701" s="154">
        <f t="shared" si="35"/>
        <v>0</v>
      </c>
      <c r="O701" s="154">
        <f t="shared" si="35"/>
        <v>0</v>
      </c>
    </row>
    <row r="702" spans="14:15">
      <c r="N702" s="154">
        <f t="shared" si="35"/>
        <v>0</v>
      </c>
      <c r="O702" s="154">
        <f t="shared" si="35"/>
        <v>0</v>
      </c>
    </row>
    <row r="703" spans="14:15">
      <c r="N703" s="154">
        <f t="shared" si="35"/>
        <v>0</v>
      </c>
      <c r="O703" s="154">
        <f t="shared" si="35"/>
        <v>0</v>
      </c>
    </row>
    <row r="704" spans="14:15">
      <c r="N704" s="154">
        <f t="shared" si="35"/>
        <v>0</v>
      </c>
      <c r="O704" s="154">
        <f t="shared" si="35"/>
        <v>0</v>
      </c>
    </row>
    <row r="705" spans="14:15">
      <c r="N705" s="154">
        <f t="shared" si="35"/>
        <v>0</v>
      </c>
      <c r="O705" s="154">
        <f t="shared" si="35"/>
        <v>0</v>
      </c>
    </row>
    <row r="706" spans="14:15">
      <c r="N706" s="154">
        <f t="shared" si="35"/>
        <v>0</v>
      </c>
      <c r="O706" s="154">
        <f t="shared" si="35"/>
        <v>0</v>
      </c>
    </row>
    <row r="707" spans="14:15">
      <c r="N707" s="154">
        <f t="shared" si="35"/>
        <v>0</v>
      </c>
      <c r="O707" s="154">
        <f t="shared" si="35"/>
        <v>0</v>
      </c>
    </row>
    <row r="708" spans="14:15">
      <c r="N708" s="154">
        <f t="shared" si="35"/>
        <v>0</v>
      </c>
      <c r="O708" s="154">
        <f t="shared" si="35"/>
        <v>0</v>
      </c>
    </row>
    <row r="709" spans="14:15">
      <c r="N709" s="154">
        <f t="shared" si="35"/>
        <v>0</v>
      </c>
      <c r="O709" s="154">
        <f t="shared" si="35"/>
        <v>0</v>
      </c>
    </row>
    <row r="710" spans="14:15">
      <c r="N710" s="154">
        <f t="shared" si="35"/>
        <v>0</v>
      </c>
      <c r="O710" s="154">
        <f t="shared" si="35"/>
        <v>0</v>
      </c>
    </row>
    <row r="711" spans="14:15">
      <c r="N711" s="154">
        <f t="shared" si="35"/>
        <v>0</v>
      </c>
      <c r="O711" s="154">
        <f t="shared" si="35"/>
        <v>0</v>
      </c>
    </row>
    <row r="712" spans="14:15">
      <c r="N712" s="154">
        <f t="shared" si="35"/>
        <v>0</v>
      </c>
      <c r="O712" s="154">
        <f t="shared" si="35"/>
        <v>0</v>
      </c>
    </row>
    <row r="713" spans="14:15">
      <c r="N713" s="154">
        <f t="shared" si="35"/>
        <v>0</v>
      </c>
      <c r="O713" s="154">
        <f t="shared" si="35"/>
        <v>0</v>
      </c>
    </row>
    <row r="714" spans="14:15">
      <c r="N714" s="154">
        <f t="shared" si="35"/>
        <v>0</v>
      </c>
      <c r="O714" s="154">
        <f t="shared" si="35"/>
        <v>0</v>
      </c>
    </row>
    <row r="715" spans="14:15">
      <c r="N715" s="154">
        <f t="shared" si="35"/>
        <v>0</v>
      </c>
      <c r="O715" s="154">
        <f t="shared" si="35"/>
        <v>0</v>
      </c>
    </row>
    <row r="716" spans="14:15">
      <c r="N716" s="154">
        <f t="shared" si="35"/>
        <v>0</v>
      </c>
      <c r="O716" s="154">
        <f t="shared" si="35"/>
        <v>0</v>
      </c>
    </row>
    <row r="717" spans="14:15">
      <c r="N717" s="154">
        <f t="shared" si="35"/>
        <v>0</v>
      </c>
      <c r="O717" s="154">
        <f t="shared" si="35"/>
        <v>0</v>
      </c>
    </row>
    <row r="718" spans="14:15">
      <c r="N718" s="154">
        <f t="shared" si="35"/>
        <v>0</v>
      </c>
      <c r="O718" s="154">
        <f t="shared" si="35"/>
        <v>0</v>
      </c>
    </row>
    <row r="719" spans="14:15">
      <c r="N719" s="154">
        <f t="shared" si="35"/>
        <v>0</v>
      </c>
      <c r="O719" s="154">
        <f t="shared" si="35"/>
        <v>0</v>
      </c>
    </row>
    <row r="720" spans="14:15">
      <c r="N720" s="154">
        <f t="shared" si="35"/>
        <v>0</v>
      </c>
      <c r="O720" s="154">
        <f t="shared" si="35"/>
        <v>0</v>
      </c>
    </row>
    <row r="721" spans="14:15">
      <c r="N721" s="154">
        <f t="shared" si="35"/>
        <v>0</v>
      </c>
      <c r="O721" s="154">
        <f t="shared" si="35"/>
        <v>0</v>
      </c>
    </row>
    <row r="722" spans="14:15">
      <c r="N722" s="154">
        <f t="shared" si="35"/>
        <v>0</v>
      </c>
      <c r="O722" s="154">
        <f t="shared" si="35"/>
        <v>0</v>
      </c>
    </row>
    <row r="723" spans="14:15">
      <c r="N723" s="154">
        <f t="shared" si="35"/>
        <v>0</v>
      </c>
      <c r="O723" s="154">
        <f t="shared" si="35"/>
        <v>0</v>
      </c>
    </row>
    <row r="724" spans="14:15">
      <c r="N724" s="154">
        <f t="shared" si="35"/>
        <v>0</v>
      </c>
      <c r="O724" s="154">
        <f t="shared" si="35"/>
        <v>0</v>
      </c>
    </row>
    <row r="725" spans="14:15">
      <c r="N725" s="154">
        <f t="shared" si="35"/>
        <v>0</v>
      </c>
      <c r="O725" s="154">
        <f t="shared" si="35"/>
        <v>0</v>
      </c>
    </row>
    <row r="726" spans="14:15">
      <c r="N726" s="154">
        <f t="shared" si="35"/>
        <v>0</v>
      </c>
      <c r="O726" s="154">
        <f t="shared" si="35"/>
        <v>0</v>
      </c>
    </row>
    <row r="727" spans="14:15">
      <c r="N727" s="154">
        <f t="shared" si="35"/>
        <v>0</v>
      </c>
      <c r="O727" s="154">
        <f t="shared" si="35"/>
        <v>0</v>
      </c>
    </row>
    <row r="728" spans="14:15">
      <c r="N728" s="154">
        <f t="shared" si="35"/>
        <v>0</v>
      </c>
      <c r="O728" s="154">
        <f t="shared" si="35"/>
        <v>0</v>
      </c>
    </row>
    <row r="729" spans="14:15">
      <c r="N729" s="154">
        <f t="shared" si="35"/>
        <v>0</v>
      </c>
      <c r="O729" s="154">
        <f t="shared" si="35"/>
        <v>0</v>
      </c>
    </row>
    <row r="730" spans="14:15">
      <c r="N730" s="154">
        <f t="shared" si="35"/>
        <v>0</v>
      </c>
      <c r="O730" s="154">
        <f t="shared" si="35"/>
        <v>0</v>
      </c>
    </row>
    <row r="731" spans="14:15">
      <c r="N731" s="154">
        <f t="shared" si="35"/>
        <v>0</v>
      </c>
      <c r="O731" s="154">
        <f t="shared" si="35"/>
        <v>0</v>
      </c>
    </row>
    <row r="732" spans="14:15">
      <c r="N732" s="154">
        <f t="shared" si="35"/>
        <v>0</v>
      </c>
      <c r="O732" s="154">
        <f t="shared" si="35"/>
        <v>0</v>
      </c>
    </row>
    <row r="733" spans="14:15">
      <c r="N733" s="154">
        <f t="shared" si="35"/>
        <v>0</v>
      </c>
      <c r="O733" s="154">
        <f t="shared" si="35"/>
        <v>0</v>
      </c>
    </row>
    <row r="734" spans="14:15">
      <c r="N734" s="154">
        <f t="shared" si="35"/>
        <v>0</v>
      </c>
      <c r="O734" s="154">
        <f t="shared" si="35"/>
        <v>0</v>
      </c>
    </row>
    <row r="735" spans="14:15">
      <c r="N735" s="154">
        <f t="shared" si="35"/>
        <v>0</v>
      </c>
      <c r="O735" s="154">
        <f t="shared" si="35"/>
        <v>0</v>
      </c>
    </row>
    <row r="736" spans="14:15">
      <c r="N736" s="154">
        <f t="shared" si="35"/>
        <v>0</v>
      </c>
      <c r="O736" s="154">
        <f t="shared" si="35"/>
        <v>0</v>
      </c>
    </row>
    <row r="737" spans="14:15">
      <c r="N737" s="154">
        <f t="shared" si="35"/>
        <v>0</v>
      </c>
      <c r="O737" s="154">
        <f t="shared" si="35"/>
        <v>0</v>
      </c>
    </row>
    <row r="738" spans="14:15">
      <c r="N738" s="154">
        <f t="shared" si="35"/>
        <v>0</v>
      </c>
      <c r="O738" s="154">
        <f t="shared" si="35"/>
        <v>0</v>
      </c>
    </row>
    <row r="739" spans="14:15">
      <c r="N739" s="154">
        <f t="shared" si="35"/>
        <v>0</v>
      </c>
      <c r="O739" s="154">
        <f t="shared" si="35"/>
        <v>0</v>
      </c>
    </row>
    <row r="740" spans="14:15">
      <c r="N740" s="154">
        <f t="shared" si="35"/>
        <v>0</v>
      </c>
      <c r="O740" s="154">
        <f t="shared" si="35"/>
        <v>0</v>
      </c>
    </row>
    <row r="741" spans="14:15">
      <c r="N741" s="154">
        <f t="shared" si="35"/>
        <v>0</v>
      </c>
      <c r="O741" s="154">
        <f t="shared" si="35"/>
        <v>0</v>
      </c>
    </row>
    <row r="742" spans="14:15">
      <c r="N742" s="154">
        <f t="shared" si="35"/>
        <v>0</v>
      </c>
      <c r="O742" s="154">
        <f t="shared" si="35"/>
        <v>0</v>
      </c>
    </row>
    <row r="743" spans="14:15">
      <c r="N743" s="154">
        <f t="shared" si="35"/>
        <v>0</v>
      </c>
      <c r="O743" s="154">
        <f t="shared" si="35"/>
        <v>0</v>
      </c>
    </row>
    <row r="744" spans="14:15">
      <c r="N744" s="154">
        <f t="shared" si="35"/>
        <v>0</v>
      </c>
      <c r="O744" s="154">
        <f t="shared" si="35"/>
        <v>0</v>
      </c>
    </row>
    <row r="745" spans="14:15">
      <c r="N745" s="154">
        <f t="shared" si="35"/>
        <v>0</v>
      </c>
      <c r="O745" s="154">
        <f t="shared" si="35"/>
        <v>0</v>
      </c>
    </row>
    <row r="746" spans="14:15">
      <c r="N746" s="154">
        <f t="shared" si="35"/>
        <v>0</v>
      </c>
      <c r="O746" s="154">
        <f t="shared" si="35"/>
        <v>0</v>
      </c>
    </row>
    <row r="747" spans="14:15">
      <c r="N747" s="154">
        <f t="shared" si="35"/>
        <v>0</v>
      </c>
      <c r="O747" s="154">
        <f t="shared" si="35"/>
        <v>0</v>
      </c>
    </row>
    <row r="748" spans="14:15">
      <c r="N748" s="154">
        <f t="shared" si="35"/>
        <v>0</v>
      </c>
      <c r="O748" s="154">
        <f t="shared" si="35"/>
        <v>0</v>
      </c>
    </row>
  </sheetData>
  <autoFilter ref="C1:L1" xr:uid="{00000000-0009-0000-0000-000010000000}"/>
  <mergeCells count="2">
    <mergeCell ref="Y11:AB11"/>
    <mergeCell ref="Y7:AB7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D4FA-AFBB-4079-BBA0-76A5AB1360F8}">
  <sheetPr codeName="Sheet20"/>
  <dimension ref="A1:N15"/>
  <sheetViews>
    <sheetView zoomScaleNormal="100" workbookViewId="0">
      <selection activeCell="A9" sqref="A9"/>
    </sheetView>
  </sheetViews>
  <sheetFormatPr defaultColWidth="8.85546875" defaultRowHeight="15"/>
  <cols>
    <col min="1" max="1" width="26.7109375" customWidth="1"/>
    <col min="4" max="4" width="5.85546875" customWidth="1"/>
    <col min="5" max="5" width="17.140625" customWidth="1"/>
  </cols>
  <sheetData>
    <row r="1" spans="1:14" ht="15.75" thickBot="1">
      <c r="A1" t="s">
        <v>235</v>
      </c>
      <c r="B1" s="35">
        <v>6.7500000000000004E-2</v>
      </c>
    </row>
    <row r="2" spans="1:14" ht="15.75" thickBot="1">
      <c r="A2" t="s">
        <v>389</v>
      </c>
      <c r="B2" s="36">
        <v>2.75E-2</v>
      </c>
      <c r="E2" s="450" t="s">
        <v>235</v>
      </c>
      <c r="F2" s="441"/>
      <c r="G2" s="441"/>
      <c r="H2" s="441"/>
      <c r="I2" s="441"/>
      <c r="J2" s="441"/>
      <c r="K2" s="441"/>
      <c r="L2" s="441"/>
      <c r="M2" s="441"/>
      <c r="N2" s="442"/>
    </row>
    <row r="3" spans="1:14" ht="16.5" thickBot="1">
      <c r="A3" s="138" t="s">
        <v>208</v>
      </c>
      <c r="B3" s="282">
        <f>'Balance Sheet'!D37-'Balance Sheet'!D40</f>
        <v>2357</v>
      </c>
      <c r="C3" s="138" t="s">
        <v>22</v>
      </c>
      <c r="D3" s="61" t="s">
        <v>22</v>
      </c>
      <c r="E3" s="361" t="s">
        <v>22</v>
      </c>
      <c r="F3" s="362">
        <v>0.04</v>
      </c>
      <c r="G3" s="363">
        <v>4.4999999999999998E-2</v>
      </c>
      <c r="H3" s="363">
        <v>0.05</v>
      </c>
      <c r="I3" s="363">
        <v>5.5E-2</v>
      </c>
      <c r="J3" s="363">
        <v>0.06</v>
      </c>
      <c r="K3" s="364">
        <v>6.5000000000000002E-2</v>
      </c>
      <c r="L3" s="364">
        <v>7.0000000000000007E-2</v>
      </c>
      <c r="M3" s="364">
        <v>7.4999999999999997E-2</v>
      </c>
      <c r="N3" s="365">
        <v>0.08</v>
      </c>
    </row>
    <row r="4" spans="1:14" ht="20.25">
      <c r="D4" s="32"/>
      <c r="E4" s="366">
        <v>1.4999999999999999E-2</v>
      </c>
      <c r="F4" s="367"/>
      <c r="G4" s="367"/>
      <c r="H4" s="367"/>
      <c r="I4" s="367"/>
      <c r="J4" s="367"/>
      <c r="K4" s="368"/>
      <c r="L4" s="369"/>
      <c r="M4" s="369"/>
      <c r="N4" s="434"/>
    </row>
    <row r="5" spans="1:14" ht="20.25">
      <c r="D5" s="33"/>
      <c r="E5" s="370">
        <v>1.7500000000000002E-2</v>
      </c>
      <c r="F5" s="371"/>
      <c r="G5" s="371"/>
      <c r="H5" s="371"/>
      <c r="I5" s="371"/>
      <c r="J5" s="371"/>
      <c r="K5" s="46"/>
      <c r="L5" s="138"/>
      <c r="M5" s="138"/>
      <c r="N5" s="435"/>
    </row>
    <row r="6" spans="1:14" ht="20.25">
      <c r="D6" s="33"/>
      <c r="E6" s="370">
        <v>0.02</v>
      </c>
      <c r="F6" s="371"/>
      <c r="G6" s="371"/>
      <c r="H6" s="371"/>
      <c r="I6" s="371"/>
      <c r="J6" s="371"/>
      <c r="K6" s="46"/>
      <c r="L6" s="138"/>
      <c r="M6" s="138"/>
      <c r="N6" s="435"/>
    </row>
    <row r="7" spans="1:14" ht="20.25">
      <c r="D7" s="33"/>
      <c r="E7" s="370">
        <v>2.2499999999999999E-2</v>
      </c>
      <c r="F7" s="371"/>
      <c r="G7" s="371"/>
      <c r="H7" s="371"/>
      <c r="I7" s="371"/>
      <c r="J7" s="371"/>
      <c r="K7" s="46"/>
      <c r="L7" s="138"/>
      <c r="M7" s="138"/>
      <c r="N7" s="435"/>
    </row>
    <row r="8" spans="1:14" ht="20.25">
      <c r="A8" t="s">
        <v>22</v>
      </c>
      <c r="D8" s="33"/>
      <c r="E8" s="370">
        <v>2.5000000000000001E-2</v>
      </c>
      <c r="F8" s="371"/>
      <c r="G8" s="371"/>
      <c r="H8" s="371"/>
      <c r="I8" s="371"/>
      <c r="J8" s="371"/>
      <c r="K8" s="46"/>
      <c r="L8" s="138"/>
      <c r="M8" s="138"/>
      <c r="N8" s="435"/>
    </row>
    <row r="9" spans="1:14" ht="20.25">
      <c r="D9" s="33"/>
      <c r="E9" s="370">
        <v>2.75E-2</v>
      </c>
      <c r="F9" s="371"/>
      <c r="G9" s="371"/>
      <c r="H9" s="371"/>
      <c r="I9" s="371"/>
      <c r="J9" s="371"/>
      <c r="K9" s="46"/>
      <c r="L9" s="138"/>
      <c r="M9" s="138"/>
      <c r="N9" s="435"/>
    </row>
    <row r="10" spans="1:14" ht="20.25">
      <c r="D10" s="33"/>
      <c r="E10" s="370">
        <v>0.03</v>
      </c>
      <c r="F10" s="371"/>
      <c r="G10" s="371"/>
      <c r="H10" s="371"/>
      <c r="I10" s="371"/>
      <c r="J10" s="371"/>
      <c r="K10" s="46"/>
      <c r="L10" s="138"/>
      <c r="M10" s="138"/>
      <c r="N10" s="435"/>
    </row>
    <row r="11" spans="1:14" ht="21" thickBot="1">
      <c r="D11" s="34"/>
      <c r="E11" s="372">
        <v>3.2500000000000001E-2</v>
      </c>
      <c r="F11" s="373"/>
      <c r="G11" s="373"/>
      <c r="H11" s="373"/>
      <c r="I11" s="373"/>
      <c r="J11" s="373"/>
      <c r="K11" s="374"/>
      <c r="L11" s="80"/>
      <c r="M11" s="80"/>
      <c r="N11" s="436"/>
    </row>
    <row r="12" spans="1:14" ht="15.75" thickBot="1">
      <c r="E12" s="463" t="s">
        <v>390</v>
      </c>
      <c r="F12" s="464"/>
      <c r="G12" s="464"/>
      <c r="H12" s="464"/>
      <c r="I12" s="464"/>
      <c r="J12" s="464"/>
      <c r="K12" s="464"/>
      <c r="L12" s="464"/>
      <c r="M12" s="464"/>
      <c r="N12" s="465"/>
    </row>
    <row r="13" spans="1:14" ht="15.75" thickBot="1">
      <c r="E13" s="176" t="s">
        <v>391</v>
      </c>
      <c r="F13" s="177"/>
      <c r="G13" s="177"/>
      <c r="H13" s="177"/>
      <c r="I13" s="177"/>
      <c r="J13" s="177"/>
      <c r="K13" s="177"/>
      <c r="L13" s="177"/>
      <c r="M13" s="175"/>
      <c r="N13" s="175"/>
    </row>
    <row r="14" spans="1:14" ht="15.75" thickBot="1">
      <c r="E14" s="463" t="s">
        <v>392</v>
      </c>
      <c r="F14" s="464"/>
      <c r="G14" s="464"/>
      <c r="H14" s="464"/>
      <c r="I14" s="464"/>
      <c r="J14" s="464"/>
      <c r="K14" s="464"/>
      <c r="L14" s="464"/>
      <c r="M14" s="464"/>
      <c r="N14" s="465"/>
    </row>
    <row r="15" spans="1:14" ht="15.75" thickBot="1">
      <c r="E15" s="178"/>
      <c r="F15" s="179"/>
      <c r="G15" s="179"/>
      <c r="H15" s="179"/>
      <c r="I15" s="179"/>
      <c r="J15" s="179"/>
      <c r="K15" s="179"/>
      <c r="L15" s="179"/>
      <c r="M15" s="179"/>
      <c r="N15" s="180"/>
    </row>
  </sheetData>
  <mergeCells count="3">
    <mergeCell ref="E14:N14"/>
    <mergeCell ref="E12:N12"/>
    <mergeCell ref="E2:N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5643C344EF724B90F2FFA5F704B324" ma:contentTypeVersion="3" ma:contentTypeDescription="Create a new document." ma:contentTypeScope="" ma:versionID="340ed8ec113cd3603012865479ebe93c">
  <xsd:schema xmlns:xsd="http://www.w3.org/2001/XMLSchema" xmlns:xs="http://www.w3.org/2001/XMLSchema" xmlns:p="http://schemas.microsoft.com/office/2006/metadata/properties" xmlns:ns2="455c2b36-f921-49de-975e-89340ccc7d62" targetNamespace="http://schemas.microsoft.com/office/2006/metadata/properties" ma:root="true" ma:fieldsID="38190ce5d9c4fe81c42eb63b882b6d9d" ns2:_="">
    <xsd:import namespace="455c2b36-f921-49de-975e-89340ccc7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c2b36-f921-49de-975e-89340ccc7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E658A-3819-491D-94F0-1EB76A3F1C35}"/>
</file>

<file path=customXml/itemProps2.xml><?xml version="1.0" encoding="utf-8"?>
<ds:datastoreItem xmlns:ds="http://schemas.openxmlformats.org/officeDocument/2006/customXml" ds:itemID="{4BD51417-D8A5-4746-89C3-DE6D4114E7EE}"/>
</file>

<file path=customXml/itemProps3.xml><?xml version="1.0" encoding="utf-8"?>
<ds:datastoreItem xmlns:ds="http://schemas.openxmlformats.org/officeDocument/2006/customXml" ds:itemID="{50979FBC-BD78-43B1-983C-B6EE5DC52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Garner</dc:creator>
  <cp:keywords/>
  <dc:description/>
  <cp:lastModifiedBy/>
  <cp:revision/>
  <dcterms:created xsi:type="dcterms:W3CDTF">2017-10-01T14:33:04Z</dcterms:created>
  <dcterms:modified xsi:type="dcterms:W3CDTF">2025-06-29T22:46:39Z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0x010100F75643C344EF724B90F2FFA5F704B324</vt:lpwstr>
  </property>
</Properties>
</file>